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fileserver01\FileServer\受け渡し\小山\勤務票\"/>
    </mc:Choice>
  </mc:AlternateContent>
  <bookViews>
    <workbookView xWindow="0" yWindow="0" windowWidth="17940" windowHeight="9945"/>
  </bookViews>
  <sheets>
    <sheet name="勤務票" sheetId="2" r:id="rId1"/>
    <sheet name="祝日" sheetId="4" r:id="rId2"/>
    <sheet name="設定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3" i="2" l="1"/>
  <c r="F33" i="2"/>
  <c r="B36" i="2"/>
  <c r="B37" i="2"/>
  <c r="B38" i="2"/>
  <c r="H37" i="2"/>
  <c r="F37" i="2"/>
  <c r="F18" i="2" l="1"/>
  <c r="F19" i="2"/>
  <c r="H18" i="2"/>
  <c r="H19" i="2"/>
  <c r="H20" i="2"/>
  <c r="I4" i="2" l="1"/>
  <c r="F38" i="2" l="1"/>
  <c r="F36" i="2"/>
  <c r="F35" i="2"/>
  <c r="F34" i="2"/>
  <c r="F32" i="2"/>
  <c r="F31" i="2"/>
  <c r="F29" i="2"/>
  <c r="F28" i="2"/>
  <c r="F27" i="2"/>
  <c r="F26" i="2"/>
  <c r="F25" i="2"/>
  <c r="F24" i="2"/>
  <c r="F23" i="2"/>
  <c r="F22" i="2"/>
  <c r="F21" i="2"/>
  <c r="F20" i="2"/>
  <c r="F17" i="2"/>
  <c r="F16" i="2"/>
  <c r="F15" i="2"/>
  <c r="F14" i="2"/>
  <c r="F13" i="2"/>
  <c r="F8" i="2" l="1"/>
  <c r="H8" i="2"/>
  <c r="F9" i="2"/>
  <c r="H9" i="2"/>
  <c r="F10" i="2"/>
  <c r="H10" i="2"/>
  <c r="F11" i="2"/>
  <c r="H11" i="2"/>
  <c r="F12" i="2"/>
  <c r="H12" i="2"/>
  <c r="H13" i="2"/>
  <c r="H14" i="2"/>
  <c r="H15" i="2"/>
  <c r="H16" i="2"/>
  <c r="H17" i="2"/>
  <c r="H21" i="2"/>
  <c r="H22" i="2"/>
  <c r="H23" i="2"/>
  <c r="H24" i="2"/>
  <c r="H25" i="2"/>
  <c r="H26" i="2"/>
  <c r="H27" i="2"/>
  <c r="H28" i="2"/>
  <c r="H29" i="2"/>
  <c r="H31" i="2"/>
  <c r="H32" i="2"/>
  <c r="H34" i="2"/>
  <c r="H35" i="2"/>
  <c r="H36" i="2"/>
  <c r="H38" i="2"/>
  <c r="B8" i="2"/>
  <c r="C8" i="2" s="1"/>
  <c r="B9" i="2" l="1"/>
  <c r="D3" i="3"/>
  <c r="C9" i="2" l="1"/>
  <c r="B10" i="2"/>
  <c r="D4" i="3"/>
  <c r="C10" i="2" l="1"/>
  <c r="B11" i="2"/>
  <c r="D15" i="3"/>
  <c r="D14" i="3"/>
  <c r="D13" i="3"/>
  <c r="D12" i="3"/>
  <c r="D11" i="3"/>
  <c r="D10" i="3"/>
  <c r="D9" i="3"/>
  <c r="D8" i="3"/>
  <c r="D7" i="3"/>
  <c r="D6" i="3"/>
  <c r="D5" i="3"/>
  <c r="C11" i="2" l="1"/>
  <c r="B12" i="2"/>
  <c r="B13" i="2" l="1"/>
  <c r="C12" i="2"/>
  <c r="C13" i="2" l="1"/>
  <c r="B14" i="2"/>
  <c r="B15" i="2" l="1"/>
  <c r="C14" i="2"/>
  <c r="B16" i="2" l="1"/>
  <c r="C15" i="2"/>
  <c r="B17" i="2" l="1"/>
  <c r="C16" i="2"/>
  <c r="B18" i="2" l="1"/>
  <c r="C17" i="2"/>
  <c r="C18" i="2" l="1"/>
  <c r="B19" i="2"/>
  <c r="C19" i="2" l="1"/>
  <c r="B20" i="2"/>
  <c r="B21" i="2" l="1"/>
  <c r="C20" i="2"/>
  <c r="C21" i="2" l="1"/>
  <c r="B22" i="2"/>
  <c r="C22" i="2" l="1"/>
  <c r="B23" i="2"/>
  <c r="B24" i="2" l="1"/>
  <c r="C23" i="2"/>
  <c r="B25" i="2" l="1"/>
  <c r="C24" i="2"/>
  <c r="B26" i="2" l="1"/>
  <c r="C25" i="2"/>
  <c r="B27" i="2" l="1"/>
  <c r="C26" i="2"/>
  <c r="C27" i="2" l="1"/>
  <c r="B28" i="2"/>
  <c r="C28" i="2" l="1"/>
  <c r="B29" i="2"/>
  <c r="B30" i="2" l="1"/>
  <c r="C29" i="2"/>
  <c r="C30" i="2" l="1"/>
  <c r="B31" i="2"/>
  <c r="B32" i="2" l="1"/>
  <c r="C31" i="2"/>
  <c r="C32" i="2" l="1"/>
  <c r="B33" i="2"/>
  <c r="C33" i="2" l="1"/>
  <c r="B34" i="2"/>
  <c r="B35" i="2" l="1"/>
  <c r="C37" i="2" s="1"/>
  <c r="C34" i="2"/>
  <c r="C35" i="2" l="1"/>
  <c r="C36" i="2" l="1"/>
  <c r="C38" i="2" l="1"/>
</calcChain>
</file>

<file path=xl/sharedStrings.xml><?xml version="1.0" encoding="utf-8"?>
<sst xmlns="http://schemas.openxmlformats.org/spreadsheetml/2006/main" count="163" uniqueCount="84">
  <si>
    <t>天皇誕生日</t>
  </si>
  <si>
    <t>日</t>
    <rPh sb="0" eb="1">
      <t>ヒ</t>
    </rPh>
    <phoneticPr fontId="1"/>
  </si>
  <si>
    <t>曜</t>
    <rPh sb="0" eb="1">
      <t>ヨウ</t>
    </rPh>
    <phoneticPr fontId="1"/>
  </si>
  <si>
    <t>出勤</t>
    <rPh sb="0" eb="2">
      <t>シュッキン</t>
    </rPh>
    <phoneticPr fontId="1"/>
  </si>
  <si>
    <t>開始</t>
    <rPh sb="0" eb="2">
      <t>カイシ</t>
    </rPh>
    <phoneticPr fontId="1"/>
  </si>
  <si>
    <t>～</t>
    <phoneticPr fontId="1"/>
  </si>
  <si>
    <t>終了</t>
    <rPh sb="0" eb="2">
      <t>シュウリョウ</t>
    </rPh>
    <phoneticPr fontId="1"/>
  </si>
  <si>
    <t>就業時間</t>
    <rPh sb="0" eb="2">
      <t>シュウギョウ</t>
    </rPh>
    <rPh sb="2" eb="4">
      <t>ジカン</t>
    </rPh>
    <phoneticPr fontId="1"/>
  </si>
  <si>
    <t>時間</t>
    <rPh sb="0" eb="2">
      <t>ジカン</t>
    </rPh>
    <phoneticPr fontId="1"/>
  </si>
  <si>
    <t>合計</t>
    <rPh sb="0" eb="2">
      <t>ゴウケイ</t>
    </rPh>
    <phoneticPr fontId="1"/>
  </si>
  <si>
    <t>備考</t>
    <rPh sb="0" eb="2">
      <t>ビコウ</t>
    </rPh>
    <phoneticPr fontId="1"/>
  </si>
  <si>
    <t>日付</t>
  </si>
  <si>
    <t>祝日名</t>
    <rPh sb="0" eb="2">
      <t>シュクジツ</t>
    </rPh>
    <rPh sb="2" eb="3">
      <t>メイ</t>
    </rPh>
    <phoneticPr fontId="3"/>
  </si>
  <si>
    <t>2016/1/1</t>
  </si>
  <si>
    <t>元日</t>
  </si>
  <si>
    <t>2016/1/11</t>
  </si>
  <si>
    <t>成人の日</t>
  </si>
  <si>
    <t>2016/2/11</t>
  </si>
  <si>
    <t>建国記念の日</t>
  </si>
  <si>
    <t>2016/3/20</t>
  </si>
  <si>
    <t>春分の日</t>
  </si>
  <si>
    <t>2016/3/21</t>
  </si>
  <si>
    <t>振替休日</t>
  </si>
  <si>
    <t>2016/4/29</t>
  </si>
  <si>
    <t>昭和の日</t>
  </si>
  <si>
    <t>2016/5/3</t>
  </si>
  <si>
    <t>憲法記念日</t>
  </si>
  <si>
    <t>2016/5/4</t>
  </si>
  <si>
    <t>みどりの日</t>
  </si>
  <si>
    <t>2016/5/5</t>
  </si>
  <si>
    <t>こどもの日</t>
  </si>
  <si>
    <t>2016/7/18</t>
  </si>
  <si>
    <t>海の日</t>
  </si>
  <si>
    <t>2016/8/11</t>
  </si>
  <si>
    <t>山の日</t>
  </si>
  <si>
    <t>2016/9/19</t>
  </si>
  <si>
    <t>敬老の日</t>
  </si>
  <si>
    <t>2016/9/22</t>
  </si>
  <si>
    <t>秋分の日</t>
  </si>
  <si>
    <t>2016/10/10</t>
  </si>
  <si>
    <t>体育の日</t>
  </si>
  <si>
    <t>2016/11/3</t>
  </si>
  <si>
    <t>文化の日</t>
  </si>
  <si>
    <t>2016/11/23</t>
  </si>
  <si>
    <t>勤労感謝の日</t>
  </si>
  <si>
    <t>2016/12/23</t>
  </si>
  <si>
    <t>2017/1/1</t>
  </si>
  <si>
    <t>2017/1/9</t>
  </si>
  <si>
    <t>2017/2/11</t>
  </si>
  <si>
    <t>2017/3/20</t>
  </si>
  <si>
    <t>2017/4/29</t>
  </si>
  <si>
    <t>2017/5/3</t>
  </si>
  <si>
    <t>2017/5/4</t>
  </si>
  <si>
    <t>2017/5/5</t>
  </si>
  <si>
    <t>2017/7/17</t>
  </si>
  <si>
    <t>2017/8/11</t>
  </si>
  <si>
    <t>2017/9/18</t>
  </si>
  <si>
    <t>2017/9/23</t>
  </si>
  <si>
    <t>2017/10/9</t>
  </si>
  <si>
    <t>体育の日</t>
    <phoneticPr fontId="3"/>
  </si>
  <si>
    <t>2017/11/3</t>
  </si>
  <si>
    <t>2017/11/23</t>
  </si>
  <si>
    <t>2017/12/23</t>
  </si>
  <si>
    <t>年休</t>
    <rPh sb="0" eb="2">
      <t>ネンキュウ</t>
    </rPh>
    <phoneticPr fontId="1"/>
  </si>
  <si>
    <t>休日</t>
    <rPh sb="0" eb="2">
      <t>キュウジツ</t>
    </rPh>
    <phoneticPr fontId="1"/>
  </si>
  <si>
    <t>半年</t>
    <rPh sb="0" eb="1">
      <t>ハン</t>
    </rPh>
    <rPh sb="1" eb="2">
      <t>ネン</t>
    </rPh>
    <phoneticPr fontId="1"/>
  </si>
  <si>
    <t>氏名</t>
    <rPh sb="0" eb="2">
      <t>シメイ</t>
    </rPh>
    <phoneticPr fontId="1"/>
  </si>
  <si>
    <t>■タイムテーブル</t>
    <phoneticPr fontId="1"/>
  </si>
  <si>
    <t>■プルダウン</t>
    <phoneticPr fontId="1"/>
  </si>
  <si>
    <t>代休</t>
    <rPh sb="0" eb="2">
      <t>ダイキュウ</t>
    </rPh>
    <phoneticPr fontId="1"/>
  </si>
  <si>
    <t>※クリックすると出勤欄を土日または祝日の場合は休日に設定して</t>
    <rPh sb="8" eb="10">
      <t>シュッキン</t>
    </rPh>
    <rPh sb="10" eb="11">
      <t>ラン</t>
    </rPh>
    <rPh sb="12" eb="14">
      <t>ドニチ</t>
    </rPh>
    <rPh sb="17" eb="19">
      <t>シュクジツ</t>
    </rPh>
    <rPh sb="20" eb="22">
      <t>バアイ</t>
    </rPh>
    <rPh sb="23" eb="25">
      <t>キュウジツ</t>
    </rPh>
    <rPh sb="26" eb="28">
      <t>セッテイ</t>
    </rPh>
    <phoneticPr fontId="1"/>
  </si>
  <si>
    <t>　それ以外は出勤に設定します。</t>
    <rPh sb="3" eb="5">
      <t>イガイ</t>
    </rPh>
    <rPh sb="6" eb="8">
      <t>シュッキン</t>
    </rPh>
    <rPh sb="9" eb="11">
      <t>セッテイ</t>
    </rPh>
    <phoneticPr fontId="1"/>
  </si>
  <si>
    <t>2017/1/2</t>
  </si>
  <si>
    <t>2017/1/3</t>
  </si>
  <si>
    <t>2017/1/4</t>
  </si>
  <si>
    <t>2017/1/5</t>
  </si>
  <si>
    <t>振替休日</t>
    <phoneticPr fontId="1"/>
  </si>
  <si>
    <t>冬季休暇</t>
    <rPh sb="0" eb="4">
      <t>トウキキュウカ</t>
    </rPh>
    <phoneticPr fontId="1"/>
  </si>
  <si>
    <t>休日</t>
    <phoneticPr fontId="1"/>
  </si>
  <si>
    <t>小山和則</t>
    <rPh sb="0" eb="2">
      <t>コヤマ</t>
    </rPh>
    <rPh sb="2" eb="4">
      <t>カズノリ</t>
    </rPh>
    <phoneticPr fontId="1"/>
  </si>
  <si>
    <t>出勤</t>
    <phoneticPr fontId="1"/>
  </si>
  <si>
    <t>出勤</t>
    <phoneticPr fontId="1"/>
  </si>
  <si>
    <t>休日</t>
    <phoneticPr fontId="1"/>
  </si>
  <si>
    <t>台風の影響のため</t>
    <rPh sb="0" eb="2">
      <t>タイフウ</t>
    </rPh>
    <rPh sb="3" eb="5">
      <t>エイキョウ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</si>
</sst>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m/d"/>
    <numFmt numFmtId="177" formatCode="aaa"/>
  </numFmts>
  <fonts count="9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Meiryo UI"/>
      <family val="3"/>
      <charset val="128"/>
    </font>
    <font>
      <sz val="6"/>
      <name val="Meiryo UI"/>
      <family val="3"/>
      <charset val="128"/>
    </font>
    <font>
      <sz val="11"/>
      <color theme="1"/>
      <name val="Meiryo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name val="Meiryo UI"/>
      <family val="3"/>
      <charset val="128"/>
    </font>
    <font>
      <sz val="11"/>
      <color rgb="FFFF0000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1" xfId="0" applyFont="1" applyBorder="1">
      <alignment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4" fillId="2" borderId="1" xfId="0" applyFont="1" applyFill="1" applyBorder="1">
      <alignment vertical="center"/>
    </xf>
    <xf numFmtId="49" fontId="4" fillId="0" borderId="1" xfId="0" applyNumberFormat="1" applyFont="1" applyBorder="1">
      <alignment vertical="center"/>
    </xf>
    <xf numFmtId="0" fontId="2" fillId="0" borderId="1" xfId="0" applyNumberFormat="1" applyFont="1" applyFill="1" applyBorder="1" applyAlignment="1" applyProtection="1">
      <alignment horizontal="right" vertical="center" shrinkToFit="1"/>
    </xf>
    <xf numFmtId="20" fontId="2" fillId="0" borderId="1" xfId="0" applyNumberFormat="1" applyFont="1" applyFill="1" applyBorder="1" applyAlignment="1" applyProtection="1">
      <alignment horizontal="right" vertical="center" shrinkToFit="1"/>
      <protection locked="0"/>
    </xf>
    <xf numFmtId="0" fontId="2" fillId="0" borderId="1" xfId="0" applyFont="1" applyFill="1" applyBorder="1" applyAlignment="1" applyProtection="1">
      <alignment horizontal="center" vertical="center" shrinkToFit="1"/>
    </xf>
    <xf numFmtId="0" fontId="5" fillId="3" borderId="2" xfId="0" applyFont="1" applyFill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6" fillId="0" borderId="6" xfId="0" applyNumberFormat="1" applyFont="1" applyBorder="1">
      <alignment vertical="center"/>
    </xf>
    <xf numFmtId="55" fontId="5" fillId="0" borderId="4" xfId="0" applyNumberFormat="1" applyFont="1" applyBorder="1" applyAlignment="1">
      <alignment horizontal="centerContinuous" vertical="center"/>
    </xf>
    <xf numFmtId="0" fontId="5" fillId="0" borderId="5" xfId="0" applyFont="1" applyBorder="1" applyAlignment="1">
      <alignment horizontal="centerContinuous" vertical="center"/>
    </xf>
    <xf numFmtId="0" fontId="4" fillId="0" borderId="3" xfId="0" applyFont="1" applyBorder="1">
      <alignment vertical="center"/>
    </xf>
    <xf numFmtId="55" fontId="4" fillId="0" borderId="7" xfId="0" applyNumberFormat="1" applyFont="1" applyBorder="1" applyAlignment="1">
      <alignment horizontal="centerContinuous" vertical="center"/>
    </xf>
    <xf numFmtId="0" fontId="8" fillId="0" borderId="0" xfId="0" applyFont="1">
      <alignment vertical="center"/>
    </xf>
    <xf numFmtId="0" fontId="5" fillId="3" borderId="8" xfId="0" applyFont="1" applyFill="1" applyBorder="1" applyAlignment="1">
      <alignment horizontal="center" vertical="center"/>
    </xf>
    <xf numFmtId="176" fontId="7" fillId="0" borderId="8" xfId="0" applyNumberFormat="1" applyFont="1" applyFill="1" applyBorder="1" applyAlignment="1">
      <alignment horizontal="center" vertical="center"/>
    </xf>
    <xf numFmtId="177" fontId="5" fillId="0" borderId="8" xfId="0" applyNumberFormat="1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8" xfId="0" applyFont="1" applyBorder="1">
      <alignment vertical="center"/>
    </xf>
    <xf numFmtId="20" fontId="5" fillId="0" borderId="8" xfId="0" applyNumberFormat="1" applyFont="1" applyBorder="1">
      <alignment vertical="center"/>
    </xf>
    <xf numFmtId="0" fontId="5" fillId="0" borderId="8" xfId="0" applyNumberFormat="1" applyFont="1" applyBorder="1">
      <alignment vertical="center"/>
    </xf>
  </cellXfs>
  <cellStyles count="1">
    <cellStyle name="標準" xfId="0" builtinId="0"/>
  </cellStyles>
  <dxfs count="8">
    <dxf>
      <font>
        <color rgb="FFFF0000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rgb="FF0000FF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rgb="FF0000FF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1</xdr:row>
          <xdr:rowOff>19050</xdr:rowOff>
        </xdr:from>
        <xdr:to>
          <xdr:col>8</xdr:col>
          <xdr:colOff>542925</xdr:colOff>
          <xdr:row>2</xdr:row>
          <xdr:rowOff>190500</xdr:rowOff>
        </xdr:to>
        <xdr:sp macro="" textlink="">
          <xdr:nvSpPr>
            <xdr:cNvPr id="2049" name="InitializeSyukki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J38"/>
  <sheetViews>
    <sheetView showGridLines="0" tabSelected="1" zoomScaleNormal="100" workbookViewId="0"/>
  </sheetViews>
  <sheetFormatPr defaultRowHeight="14.25" x14ac:dyDescent="0.15"/>
  <cols>
    <col min="1" max="1" width="3.75" style="5" customWidth="1"/>
    <col min="2" max="2" width="7.5" style="5" customWidth="1"/>
    <col min="3" max="3" width="3.875" style="5" customWidth="1"/>
    <col min="4" max="4" width="7.625" style="5" customWidth="1"/>
    <col min="5" max="5" width="3.375" style="5" bestFit="1" customWidth="1"/>
    <col min="6" max="6" width="9" style="5"/>
    <col min="7" max="7" width="3.625" style="6" bestFit="1" customWidth="1"/>
    <col min="8" max="8" width="9" style="5"/>
    <col min="9" max="9" width="9.25" style="5" customWidth="1"/>
    <col min="10" max="10" width="26.25" style="5" customWidth="1"/>
    <col min="11" max="16384" width="9" style="5"/>
  </cols>
  <sheetData>
    <row r="1" spans="2:10" ht="15" thickBot="1" x14ac:dyDescent="0.2"/>
    <row r="2" spans="2:10" ht="22.5" customHeight="1" thickBot="1" x14ac:dyDescent="0.2">
      <c r="B2" s="12" t="s">
        <v>66</v>
      </c>
      <c r="C2" s="18" t="s">
        <v>79</v>
      </c>
      <c r="D2" s="13"/>
      <c r="E2" s="14"/>
    </row>
    <row r="3" spans="2:10" ht="15" thickBot="1" x14ac:dyDescent="0.2"/>
    <row r="4" spans="2:10" ht="21.75" customHeight="1" thickBot="1" x14ac:dyDescent="0.2">
      <c r="B4" s="19">
        <v>43009</v>
      </c>
      <c r="C4" s="16"/>
      <c r="D4" s="16"/>
      <c r="E4" s="17"/>
      <c r="H4" s="12" t="s">
        <v>9</v>
      </c>
      <c r="I4" s="15">
        <f>SUM(I8:I38)</f>
        <v>179</v>
      </c>
    </row>
    <row r="5" spans="2:10" ht="7.5" customHeight="1" x14ac:dyDescent="0.15">
      <c r="G5" s="5"/>
    </row>
    <row r="6" spans="2:10" ht="7.5" customHeight="1" x14ac:dyDescent="0.15"/>
    <row r="7" spans="2:10" ht="25.5" customHeight="1" x14ac:dyDescent="0.15">
      <c r="B7" s="21" t="s">
        <v>1</v>
      </c>
      <c r="C7" s="21" t="s">
        <v>2</v>
      </c>
      <c r="D7" s="21" t="s">
        <v>3</v>
      </c>
      <c r="E7" s="21"/>
      <c r="F7" s="21" t="s">
        <v>4</v>
      </c>
      <c r="G7" s="21" t="s">
        <v>5</v>
      </c>
      <c r="H7" s="21" t="s">
        <v>6</v>
      </c>
      <c r="I7" s="21" t="s">
        <v>7</v>
      </c>
      <c r="J7" s="21" t="s">
        <v>10</v>
      </c>
    </row>
    <row r="8" spans="2:10" ht="17.25" customHeight="1" x14ac:dyDescent="0.15">
      <c r="B8" s="22">
        <f>B4</f>
        <v>43009</v>
      </c>
      <c r="C8" s="23">
        <f t="shared" ref="C8:C38" si="0">B8</f>
        <v>43009</v>
      </c>
      <c r="D8" s="24" t="s">
        <v>78</v>
      </c>
      <c r="E8" s="25"/>
      <c r="F8" s="26" t="str">
        <f>IF(ISERROR(VLOOKUP(I8,設定!$B$3:$E$15,2,FALSE)),IF(OR(I8=0,I8=""),"","ERROR!!"),VLOOKUP(I8,設定!$B$3:$E$14,2,FALSE))</f>
        <v/>
      </c>
      <c r="G8" s="24" t="s">
        <v>5</v>
      </c>
      <c r="H8" s="26" t="str">
        <f>IF(ISERROR(VLOOKUP(I8,設定!$B$3:$G$15,4,FALSE)),IF(OR(I8=0,I8=""),"","ERROR!!"),VLOOKUP(I8,設定!$B$3:$G$15,4,FALSE))</f>
        <v/>
      </c>
      <c r="I8" s="27"/>
      <c r="J8" s="26"/>
    </row>
    <row r="9" spans="2:10" ht="17.25" customHeight="1" x14ac:dyDescent="0.15">
      <c r="B9" s="22">
        <f>B8+1</f>
        <v>43010</v>
      </c>
      <c r="C9" s="23">
        <f t="shared" si="0"/>
        <v>43010</v>
      </c>
      <c r="D9" s="24" t="s">
        <v>80</v>
      </c>
      <c r="E9" s="25"/>
      <c r="F9" s="26">
        <f>IF(ISERROR(VLOOKUP(I9,設定!$B$3:$E$15,2,FALSE)),IF(OR(I9=0,I9=""),"","ERROR!!"),VLOOKUP(I9,設定!$B$3:$E$14,2,FALSE))</f>
        <v>0.375</v>
      </c>
      <c r="G9" s="24" t="s">
        <v>5</v>
      </c>
      <c r="H9" s="26">
        <f>IF(ISERROR(VLOOKUP(I9,設定!$B$3:$G$15,4,FALSE)),IF(OR(I9=0,I9=""),"","ERROR!!"),VLOOKUP(I9,設定!$B$3:$G$15,4,FALSE))</f>
        <v>0.75</v>
      </c>
      <c r="I9" s="27">
        <v>8</v>
      </c>
      <c r="J9" s="26"/>
    </row>
    <row r="10" spans="2:10" ht="17.25" customHeight="1" x14ac:dyDescent="0.15">
      <c r="B10" s="22">
        <f t="shared" ref="B10:B38" si="1">B9+1</f>
        <v>43011</v>
      </c>
      <c r="C10" s="23">
        <f t="shared" si="0"/>
        <v>43011</v>
      </c>
      <c r="D10" s="24" t="s">
        <v>80</v>
      </c>
      <c r="E10" s="25"/>
      <c r="F10" s="26">
        <f>IF(ISERROR(VLOOKUP(I10,設定!$B$3:$E$15,2,FALSE)),IF(OR(I10=0,I10=""),"","ERROR!!"),VLOOKUP(I10,設定!$B$3:$E$14,2,FALSE))</f>
        <v>0.375</v>
      </c>
      <c r="G10" s="24" t="s">
        <v>5</v>
      </c>
      <c r="H10" s="26">
        <f>IF(ISERROR(VLOOKUP(I10,設定!$B$3:$G$15,4,FALSE)),IF(OR(I10=0,I10=""),"","ERROR!!"),VLOOKUP(I10,設定!$B$3:$G$15,4,FALSE))</f>
        <v>0.75</v>
      </c>
      <c r="I10" s="27">
        <v>8</v>
      </c>
      <c r="J10" s="26"/>
    </row>
    <row r="11" spans="2:10" ht="17.25" customHeight="1" x14ac:dyDescent="0.15">
      <c r="B11" s="22">
        <f t="shared" si="1"/>
        <v>43012</v>
      </c>
      <c r="C11" s="23">
        <f t="shared" si="0"/>
        <v>43012</v>
      </c>
      <c r="D11" s="24" t="s">
        <v>80</v>
      </c>
      <c r="E11" s="25"/>
      <c r="F11" s="26">
        <f>IF(ISERROR(VLOOKUP(I11,設定!$B$3:$E$15,2,FALSE)),IF(OR(I11=0,I11=""),"","ERROR!!"),VLOOKUP(I11,設定!$B$3:$E$14,2,FALSE))</f>
        <v>0.375</v>
      </c>
      <c r="G11" s="24" t="s">
        <v>5</v>
      </c>
      <c r="H11" s="26">
        <f>IF(ISERROR(VLOOKUP(I11,設定!$B$3:$G$15,4,FALSE)),IF(OR(I11=0,I11=""),"","ERROR!!"),VLOOKUP(I11,設定!$B$3:$G$15,4,FALSE))</f>
        <v>0.75</v>
      </c>
      <c r="I11" s="27">
        <v>8</v>
      </c>
      <c r="J11" s="26"/>
    </row>
    <row r="12" spans="2:10" ht="17.25" customHeight="1" x14ac:dyDescent="0.15">
      <c r="B12" s="22">
        <f t="shared" si="1"/>
        <v>43013</v>
      </c>
      <c r="C12" s="23">
        <f t="shared" si="0"/>
        <v>43013</v>
      </c>
      <c r="D12" s="24" t="s">
        <v>81</v>
      </c>
      <c r="E12" s="25"/>
      <c r="F12" s="26">
        <f>IF(ISERROR(VLOOKUP(I12,設定!$B$3:$E$15,2,FALSE)),IF(OR(I12=0,I12=""),"","ERROR!!"),VLOOKUP(I12,設定!$B$3:$E$14,2,FALSE))</f>
        <v>0.375</v>
      </c>
      <c r="G12" s="24" t="s">
        <v>5</v>
      </c>
      <c r="H12" s="26">
        <f>IF(ISERROR(VLOOKUP(I12,設定!$B$3:$G$15,4,FALSE)),IF(OR(I12=0,I12=""),"","ERROR!!"),VLOOKUP(I12,設定!$B$3:$G$15,4,FALSE))</f>
        <v>0.75</v>
      </c>
      <c r="I12" s="27">
        <v>8</v>
      </c>
      <c r="J12" s="26"/>
    </row>
    <row r="13" spans="2:10" ht="17.25" customHeight="1" x14ac:dyDescent="0.15">
      <c r="B13" s="22">
        <f t="shared" si="1"/>
        <v>43014</v>
      </c>
      <c r="C13" s="23">
        <f t="shared" si="0"/>
        <v>43014</v>
      </c>
      <c r="D13" s="24" t="s">
        <v>81</v>
      </c>
      <c r="E13" s="25"/>
      <c r="F13" s="26">
        <f>IF(ISERROR(VLOOKUP(I13,設定!$B$3:$E$15,2,FALSE)),IF(OR(I13=0,I13=""),"","ERROR!!"),VLOOKUP(I13,設定!$B$3:$E$14,2,FALSE))</f>
        <v>0.375</v>
      </c>
      <c r="G13" s="24" t="s">
        <v>5</v>
      </c>
      <c r="H13" s="26">
        <f>IF(ISERROR(VLOOKUP(I13,設定!$B$3:$G$15,4,FALSE)),IF(OR(I13=0,I13=""),"","ERROR!!"),VLOOKUP(I13,設定!$B$3:$G$15,4,FALSE))</f>
        <v>0.75</v>
      </c>
      <c r="I13" s="27">
        <v>8</v>
      </c>
      <c r="J13" s="26"/>
    </row>
    <row r="14" spans="2:10" ht="17.25" customHeight="1" x14ac:dyDescent="0.15">
      <c r="B14" s="22">
        <f t="shared" si="1"/>
        <v>43015</v>
      </c>
      <c r="C14" s="23">
        <f t="shared" si="0"/>
        <v>43015</v>
      </c>
      <c r="D14" s="24" t="s">
        <v>82</v>
      </c>
      <c r="E14" s="25"/>
      <c r="F14" s="26" t="str">
        <f>IF(ISERROR(VLOOKUP(I14,設定!$B$3:$E$15,2,FALSE)),IF(OR(I14=0,I14=""),"","ERROR!!"),VLOOKUP(I14,設定!$B$3:$E$14,2,FALSE))</f>
        <v/>
      </c>
      <c r="G14" s="24" t="s">
        <v>5</v>
      </c>
      <c r="H14" s="26" t="str">
        <f>IF(ISERROR(VLOOKUP(I14,設定!$B$3:$G$15,4,FALSE)),IF(OR(I14=0,I14=""),"","ERROR!!"),VLOOKUP(I14,設定!$B$3:$G$15,4,FALSE))</f>
        <v/>
      </c>
      <c r="I14" s="27"/>
      <c r="J14" s="26"/>
    </row>
    <row r="15" spans="2:10" ht="17.25" customHeight="1" x14ac:dyDescent="0.15">
      <c r="B15" s="22">
        <f t="shared" si="1"/>
        <v>43016</v>
      </c>
      <c r="C15" s="23">
        <f t="shared" si="0"/>
        <v>43016</v>
      </c>
      <c r="D15" s="24" t="s">
        <v>82</v>
      </c>
      <c r="E15" s="25"/>
      <c r="F15" s="26" t="str">
        <f>IF(ISERROR(VLOOKUP(I15,設定!$B$3:$E$15,2,FALSE)),IF(OR(I15=0,I15=""),"","ERROR!!"),VLOOKUP(I15,設定!$B$3:$E$14,2,FALSE))</f>
        <v/>
      </c>
      <c r="G15" s="24" t="s">
        <v>5</v>
      </c>
      <c r="H15" s="26" t="str">
        <f>IF(ISERROR(VLOOKUP(I15,設定!$B$3:$G$15,4,FALSE)),IF(OR(I15=0,I15=""),"","ERROR!!"),VLOOKUP(I15,設定!$B$3:$G$15,4,FALSE))</f>
        <v/>
      </c>
      <c r="I15" s="27"/>
      <c r="J15" s="26"/>
    </row>
    <row r="16" spans="2:10" ht="17.25" customHeight="1" x14ac:dyDescent="0.15">
      <c r="B16" s="22">
        <f t="shared" si="1"/>
        <v>43017</v>
      </c>
      <c r="C16" s="23">
        <f t="shared" si="0"/>
        <v>43017</v>
      </c>
      <c r="D16" s="24" t="s">
        <v>82</v>
      </c>
      <c r="E16" s="25"/>
      <c r="F16" s="26" t="str">
        <f>IF(ISERROR(VLOOKUP(I16,設定!$B$3:$E$15,2,FALSE)),IF(OR(I16=0,I16=""),"","ERROR!!"),VLOOKUP(I16,設定!$B$3:$E$14,2,FALSE))</f>
        <v/>
      </c>
      <c r="G16" s="24" t="s">
        <v>5</v>
      </c>
      <c r="H16" s="26" t="str">
        <f>IF(ISERROR(VLOOKUP(I16,設定!$B$3:$G$15,4,FALSE)),IF(OR(I16=0,I16=""),"","ERROR!!"),VLOOKUP(I16,設定!$B$3:$G$15,4,FALSE))</f>
        <v/>
      </c>
      <c r="I16" s="27"/>
      <c r="J16" s="26"/>
    </row>
    <row r="17" spans="2:10" ht="17.25" customHeight="1" x14ac:dyDescent="0.15">
      <c r="B17" s="22">
        <f t="shared" si="1"/>
        <v>43018</v>
      </c>
      <c r="C17" s="23">
        <f t="shared" si="0"/>
        <v>43018</v>
      </c>
      <c r="D17" s="24" t="s">
        <v>81</v>
      </c>
      <c r="E17" s="25"/>
      <c r="F17" s="26">
        <f>IF(ISERROR(VLOOKUP(I17,設定!$B$3:$E$15,2,FALSE)),IF(OR(I17=0,I17=""),"","ERROR!!"),VLOOKUP(I17,設定!$B$3:$E$14,2,FALSE))</f>
        <v>0.375</v>
      </c>
      <c r="G17" s="24" t="s">
        <v>5</v>
      </c>
      <c r="H17" s="26">
        <f>IF(ISERROR(VLOOKUP(I17,設定!$B$3:$G$15,4,FALSE)),IF(OR(I17=0,I17=""),"","ERROR!!"),VLOOKUP(I17,設定!$B$3:$G$15,4,FALSE))</f>
        <v>0.77083333333333337</v>
      </c>
      <c r="I17" s="27">
        <v>8.5</v>
      </c>
      <c r="J17" s="26"/>
    </row>
    <row r="18" spans="2:10" ht="17.25" customHeight="1" x14ac:dyDescent="0.15">
      <c r="B18" s="22">
        <f t="shared" si="1"/>
        <v>43019</v>
      </c>
      <c r="C18" s="23">
        <f t="shared" si="0"/>
        <v>43019</v>
      </c>
      <c r="D18" s="24" t="s">
        <v>81</v>
      </c>
      <c r="E18" s="25"/>
      <c r="F18" s="26">
        <f>IF(ISERROR(VLOOKUP(I18,設定!$B$3:$E$15,2,FALSE)),IF(OR(I18=0,I18=""),"","ERROR!!"),VLOOKUP(I18,設定!$B$3:$E$14,2,FALSE))</f>
        <v>0.375</v>
      </c>
      <c r="G18" s="24" t="s">
        <v>5</v>
      </c>
      <c r="H18" s="26">
        <f>IF(ISERROR(VLOOKUP(I18,設定!$B$3:$G$15,4,FALSE)),IF(OR(I18=0,I18=""),"","ERROR!!"),VLOOKUP(I18,設定!$B$3:$G$15,4,FALSE))</f>
        <v>0.75</v>
      </c>
      <c r="I18" s="27">
        <v>8</v>
      </c>
      <c r="J18" s="26"/>
    </row>
    <row r="19" spans="2:10" ht="17.25" customHeight="1" x14ac:dyDescent="0.15">
      <c r="B19" s="22">
        <f t="shared" si="1"/>
        <v>43020</v>
      </c>
      <c r="C19" s="23">
        <f t="shared" si="0"/>
        <v>43020</v>
      </c>
      <c r="D19" s="24" t="s">
        <v>81</v>
      </c>
      <c r="E19" s="25"/>
      <c r="F19" s="26">
        <f>IF(ISERROR(VLOOKUP(I19,設定!$B$3:$E$15,2,FALSE)),IF(OR(I19=0,I19=""),"","ERROR!!"),VLOOKUP(I19,設定!$B$3:$E$14,2,FALSE))</f>
        <v>0.375</v>
      </c>
      <c r="G19" s="24" t="s">
        <v>5</v>
      </c>
      <c r="H19" s="26">
        <f>IF(ISERROR(VLOOKUP(I19,設定!$B$3:$G$15,4,FALSE)),IF(OR(I19=0,I19=""),"","ERROR!!"),VLOOKUP(I19,設定!$B$3:$G$15,4,FALSE))</f>
        <v>0.83333333333333337</v>
      </c>
      <c r="I19" s="27">
        <v>10</v>
      </c>
      <c r="J19" s="26"/>
    </row>
    <row r="20" spans="2:10" ht="17.25" customHeight="1" x14ac:dyDescent="0.15">
      <c r="B20" s="22">
        <f t="shared" si="1"/>
        <v>43021</v>
      </c>
      <c r="C20" s="23">
        <f t="shared" si="0"/>
        <v>43021</v>
      </c>
      <c r="D20" s="24" t="s">
        <v>81</v>
      </c>
      <c r="E20" s="25"/>
      <c r="F20" s="26">
        <f>IF(ISERROR(VLOOKUP(I20,設定!$B$3:$E$15,2,FALSE)),IF(OR(I20=0,I20=""),"","ERROR!!"),VLOOKUP(I20,設定!$B$3:$E$14,2,FALSE))</f>
        <v>0.375</v>
      </c>
      <c r="G20" s="24" t="s">
        <v>5</v>
      </c>
      <c r="H20" s="26">
        <f>IF(ISERROR(VLOOKUP(I20,設定!$B$3:$G$15,4,FALSE)),IF(OR(I20=0,I20=""),"","ERROR!!"),VLOOKUP(I20,設定!$B$3:$G$15,4,FALSE))</f>
        <v>0.79166666666666663</v>
      </c>
      <c r="I20" s="27">
        <v>9</v>
      </c>
      <c r="J20" s="26"/>
    </row>
    <row r="21" spans="2:10" ht="17.25" customHeight="1" x14ac:dyDescent="0.15">
      <c r="B21" s="22">
        <f t="shared" si="1"/>
        <v>43022</v>
      </c>
      <c r="C21" s="23">
        <f t="shared" si="0"/>
        <v>43022</v>
      </c>
      <c r="D21" s="24" t="s">
        <v>82</v>
      </c>
      <c r="E21" s="25"/>
      <c r="F21" s="26" t="str">
        <f>IF(ISERROR(VLOOKUP(I21,設定!$B$3:$E$15,2,FALSE)),IF(OR(I21=0,I21=""),"","ERROR!!"),VLOOKUP(I21,設定!$B$3:$E$14,2,FALSE))</f>
        <v/>
      </c>
      <c r="G21" s="24" t="s">
        <v>5</v>
      </c>
      <c r="H21" s="26" t="str">
        <f>IF(ISERROR(VLOOKUP(I21,設定!$B$3:$G$15,4,FALSE)),IF(OR(I21=0,I21=""),"","ERROR!!"),VLOOKUP(I21,設定!$B$3:$G$15,4,FALSE))</f>
        <v/>
      </c>
      <c r="I21" s="27"/>
      <c r="J21" s="26"/>
    </row>
    <row r="22" spans="2:10" ht="17.25" customHeight="1" x14ac:dyDescent="0.15">
      <c r="B22" s="22">
        <f t="shared" si="1"/>
        <v>43023</v>
      </c>
      <c r="C22" s="23">
        <f t="shared" si="0"/>
        <v>43023</v>
      </c>
      <c r="D22" s="24" t="s">
        <v>82</v>
      </c>
      <c r="E22" s="25"/>
      <c r="F22" s="26" t="str">
        <f>IF(ISERROR(VLOOKUP(I22,設定!$B$3:$E$15,2,FALSE)),IF(OR(I22=0,I22=""),"","ERROR!!"),VLOOKUP(I22,設定!$B$3:$E$14,2,FALSE))</f>
        <v/>
      </c>
      <c r="G22" s="24" t="s">
        <v>5</v>
      </c>
      <c r="H22" s="26" t="str">
        <f>IF(ISERROR(VLOOKUP(I22,設定!$B$3:$G$15,4,FALSE)),IF(OR(I22=0,I22=""),"","ERROR!!"),VLOOKUP(I22,設定!$B$3:$G$15,4,FALSE))</f>
        <v/>
      </c>
      <c r="I22" s="27"/>
      <c r="J22" s="26"/>
    </row>
    <row r="23" spans="2:10" ht="17.25" customHeight="1" x14ac:dyDescent="0.15">
      <c r="B23" s="22">
        <f t="shared" si="1"/>
        <v>43024</v>
      </c>
      <c r="C23" s="23">
        <f t="shared" si="0"/>
        <v>43024</v>
      </c>
      <c r="D23" s="24" t="s">
        <v>81</v>
      </c>
      <c r="E23" s="25"/>
      <c r="F23" s="26">
        <f>IF(ISERROR(VLOOKUP(I23,設定!$B$3:$E$15,2,FALSE)),IF(OR(I23=0,I23=""),"","ERROR!!"),VLOOKUP(I23,設定!$B$3:$E$14,2,FALSE))</f>
        <v>0.375</v>
      </c>
      <c r="G23" s="24" t="s">
        <v>5</v>
      </c>
      <c r="H23" s="26">
        <f>IF(ISERROR(VLOOKUP(I23,設定!$B$3:$G$15,4,FALSE)),IF(OR(I23=0,I23=""),"","ERROR!!"),VLOOKUP(I23,設定!$B$3:$G$15,4,FALSE))</f>
        <v>0.91666666666666663</v>
      </c>
      <c r="I23" s="27">
        <v>12</v>
      </c>
      <c r="J23" s="26"/>
    </row>
    <row r="24" spans="2:10" ht="17.25" customHeight="1" x14ac:dyDescent="0.15">
      <c r="B24" s="22">
        <f t="shared" si="1"/>
        <v>43025</v>
      </c>
      <c r="C24" s="23">
        <f t="shared" si="0"/>
        <v>43025</v>
      </c>
      <c r="D24" s="24" t="s">
        <v>81</v>
      </c>
      <c r="E24" s="25"/>
      <c r="F24" s="26">
        <f>IF(ISERROR(VLOOKUP(I24,設定!$B$3:$E$15,2,FALSE)),IF(OR(I24=0,I24=""),"","ERROR!!"),VLOOKUP(I24,設定!$B$3:$E$14,2,FALSE))</f>
        <v>0.375</v>
      </c>
      <c r="G24" s="24" t="s">
        <v>5</v>
      </c>
      <c r="H24" s="26">
        <f>IF(ISERROR(VLOOKUP(I24,設定!$B$3:$G$15,4,FALSE)),IF(OR(I24=0,I24=""),"","ERROR!!"),VLOOKUP(I24,設定!$B$3:$G$15,4,FALSE))</f>
        <v>0.83333333333333337</v>
      </c>
      <c r="I24" s="27">
        <v>10</v>
      </c>
      <c r="J24" s="26"/>
    </row>
    <row r="25" spans="2:10" ht="17.25" customHeight="1" x14ac:dyDescent="0.15">
      <c r="B25" s="22">
        <f t="shared" si="1"/>
        <v>43026</v>
      </c>
      <c r="C25" s="23">
        <f t="shared" si="0"/>
        <v>43026</v>
      </c>
      <c r="D25" s="24" t="s">
        <v>81</v>
      </c>
      <c r="E25" s="25"/>
      <c r="F25" s="26">
        <f>IF(ISERROR(VLOOKUP(I25,設定!$B$3:$E$15,2,FALSE)),IF(OR(I25=0,I25=""),"","ERROR!!"),VLOOKUP(I25,設定!$B$3:$E$14,2,FALSE))</f>
        <v>0.375</v>
      </c>
      <c r="G25" s="24" t="s">
        <v>5</v>
      </c>
      <c r="H25" s="26">
        <f>IF(ISERROR(VLOOKUP(I25,設定!$B$3:$G$15,4,FALSE)),IF(OR(I25=0,I25=""),"","ERROR!!"),VLOOKUP(I25,設定!$B$3:$G$15,4,FALSE))</f>
        <v>0.83333333333333337</v>
      </c>
      <c r="I25" s="27">
        <v>10</v>
      </c>
      <c r="J25" s="26"/>
    </row>
    <row r="26" spans="2:10" ht="17.25" customHeight="1" x14ac:dyDescent="0.15">
      <c r="B26" s="22">
        <f t="shared" si="1"/>
        <v>43027</v>
      </c>
      <c r="C26" s="23">
        <f t="shared" si="0"/>
        <v>43027</v>
      </c>
      <c r="D26" s="24" t="s">
        <v>81</v>
      </c>
      <c r="E26" s="25"/>
      <c r="F26" s="26">
        <f>IF(ISERROR(VLOOKUP(I26,設定!$B$3:$E$15,2,FALSE)),IF(OR(I26=0,I26=""),"","ERROR!!"),VLOOKUP(I26,設定!$B$3:$E$14,2,FALSE))</f>
        <v>0.375</v>
      </c>
      <c r="G26" s="24" t="s">
        <v>5</v>
      </c>
      <c r="H26" s="26">
        <f>IF(ISERROR(VLOOKUP(I26,設定!$B$3:$G$15,4,FALSE)),IF(OR(I26=0,I26=""),"","ERROR!!"),VLOOKUP(I26,設定!$B$3:$G$15,4,FALSE))</f>
        <v>0.83333333333333337</v>
      </c>
      <c r="I26" s="27">
        <v>10</v>
      </c>
      <c r="J26" s="26"/>
    </row>
    <row r="27" spans="2:10" ht="17.25" customHeight="1" x14ac:dyDescent="0.15">
      <c r="B27" s="22">
        <f t="shared" si="1"/>
        <v>43028</v>
      </c>
      <c r="C27" s="23">
        <f t="shared" si="0"/>
        <v>43028</v>
      </c>
      <c r="D27" s="24" t="s">
        <v>81</v>
      </c>
      <c r="E27" s="25"/>
      <c r="F27" s="26">
        <f>IF(ISERROR(VLOOKUP(I27,設定!$B$3:$E$15,2,FALSE)),IF(OR(I27=0,I27=""),"","ERROR!!"),VLOOKUP(I27,設定!$B$3:$E$14,2,FALSE))</f>
        <v>0.375</v>
      </c>
      <c r="G27" s="24" t="s">
        <v>5</v>
      </c>
      <c r="H27" s="26">
        <f>IF(ISERROR(VLOOKUP(I27,設定!$B$3:$G$15,4,FALSE)),IF(OR(I27=0,I27=""),"","ERROR!!"),VLOOKUP(I27,設定!$B$3:$G$15,4,FALSE))</f>
        <v>0.75</v>
      </c>
      <c r="I27" s="27">
        <v>8</v>
      </c>
      <c r="J27" s="26"/>
    </row>
    <row r="28" spans="2:10" ht="17.25" customHeight="1" x14ac:dyDescent="0.15">
      <c r="B28" s="22">
        <f t="shared" si="1"/>
        <v>43029</v>
      </c>
      <c r="C28" s="23">
        <f t="shared" si="0"/>
        <v>43029</v>
      </c>
      <c r="D28" s="24" t="s">
        <v>82</v>
      </c>
      <c r="E28" s="25"/>
      <c r="F28" s="26" t="str">
        <f>IF(ISERROR(VLOOKUP(I28,設定!$B$3:$E$15,2,FALSE)),IF(OR(I28=0,I28=""),"","ERROR!!"),VLOOKUP(I28,設定!$B$3:$E$14,2,FALSE))</f>
        <v/>
      </c>
      <c r="G28" s="24" t="s">
        <v>5</v>
      </c>
      <c r="H28" s="26" t="str">
        <f>IF(ISERROR(VLOOKUP(I28,設定!$B$3:$G$15,4,FALSE)),IF(OR(I28=0,I28=""),"","ERROR!!"),VLOOKUP(I28,設定!$B$3:$G$15,4,FALSE))</f>
        <v/>
      </c>
      <c r="I28" s="27"/>
      <c r="J28" s="26"/>
    </row>
    <row r="29" spans="2:10" ht="17.25" customHeight="1" x14ac:dyDescent="0.15">
      <c r="B29" s="22">
        <f t="shared" si="1"/>
        <v>43030</v>
      </c>
      <c r="C29" s="23">
        <f t="shared" si="0"/>
        <v>43030</v>
      </c>
      <c r="D29" s="24" t="s">
        <v>82</v>
      </c>
      <c r="E29" s="25"/>
      <c r="F29" s="26" t="str">
        <f>IF(ISERROR(VLOOKUP(I29,設定!$B$3:$E$15,2,FALSE)),IF(OR(I29=0,I29=""),"","ERROR!!"),VLOOKUP(I29,設定!$B$3:$E$14,2,FALSE))</f>
        <v/>
      </c>
      <c r="G29" s="24" t="s">
        <v>5</v>
      </c>
      <c r="H29" s="26" t="str">
        <f>IF(ISERROR(VLOOKUP(I29,設定!$B$3:$G$15,4,FALSE)),IF(OR(I29=0,I29=""),"","ERROR!!"),VLOOKUP(I29,設定!$B$3:$G$15,4,FALSE))</f>
        <v/>
      </c>
      <c r="I29" s="27"/>
      <c r="J29" s="26"/>
    </row>
    <row r="30" spans="2:10" ht="17.25" customHeight="1" x14ac:dyDescent="0.15">
      <c r="B30" s="22">
        <f t="shared" si="1"/>
        <v>43031</v>
      </c>
      <c r="C30" s="23">
        <f t="shared" si="0"/>
        <v>43031</v>
      </c>
      <c r="D30" s="24" t="s">
        <v>65</v>
      </c>
      <c r="E30" s="25"/>
      <c r="F30" s="26">
        <v>0.54166666666666663</v>
      </c>
      <c r="G30" s="24" t="s">
        <v>5</v>
      </c>
      <c r="H30" s="26">
        <v>0.79166666666666663</v>
      </c>
      <c r="I30" s="27">
        <v>6</v>
      </c>
      <c r="J30" s="26" t="s">
        <v>83</v>
      </c>
    </row>
    <row r="31" spans="2:10" ht="17.25" customHeight="1" x14ac:dyDescent="0.15">
      <c r="B31" s="22">
        <f t="shared" si="1"/>
        <v>43032</v>
      </c>
      <c r="C31" s="23">
        <f t="shared" si="0"/>
        <v>43032</v>
      </c>
      <c r="D31" s="24" t="s">
        <v>81</v>
      </c>
      <c r="E31" s="25"/>
      <c r="F31" s="26">
        <f>IF(ISERROR(VLOOKUP(I31,設定!$B$3:$E$15,2,FALSE)),IF(OR(I31=0,I31=""),"","ERROR!!"),VLOOKUP(I31,設定!$B$3:$E$14,2,FALSE))</f>
        <v>0.375</v>
      </c>
      <c r="G31" s="24" t="s">
        <v>5</v>
      </c>
      <c r="H31" s="26">
        <f>IF(ISERROR(VLOOKUP(I31,設定!$B$3:$G$15,4,FALSE)),IF(OR(I31=0,I31=""),"","ERROR!!"),VLOOKUP(I31,設定!$B$3:$G$15,4,FALSE))</f>
        <v>0.77083333333333337</v>
      </c>
      <c r="I31" s="27">
        <v>8.5</v>
      </c>
      <c r="J31" s="26"/>
    </row>
    <row r="32" spans="2:10" ht="17.25" customHeight="1" x14ac:dyDescent="0.15">
      <c r="B32" s="22">
        <f t="shared" si="1"/>
        <v>43033</v>
      </c>
      <c r="C32" s="23">
        <f t="shared" si="0"/>
        <v>43033</v>
      </c>
      <c r="D32" s="24" t="s">
        <v>81</v>
      </c>
      <c r="E32" s="25"/>
      <c r="F32" s="26">
        <f>IF(ISERROR(VLOOKUP(I32,設定!$B$3:$E$15,2,FALSE)),IF(OR(I32=0,I32=""),"","ERROR!!"),VLOOKUP(I32,設定!$B$3:$E$14,2,FALSE))</f>
        <v>0.375</v>
      </c>
      <c r="G32" s="24" t="s">
        <v>5</v>
      </c>
      <c r="H32" s="26">
        <f>IF(ISERROR(VLOOKUP(I32,設定!$B$3:$G$15,4,FALSE)),IF(OR(I32=0,I32=""),"","ERROR!!"),VLOOKUP(I32,設定!$B$3:$G$15,4,FALSE))</f>
        <v>0.75</v>
      </c>
      <c r="I32" s="27">
        <v>8</v>
      </c>
      <c r="J32" s="26"/>
    </row>
    <row r="33" spans="2:10" ht="17.25" customHeight="1" x14ac:dyDescent="0.15">
      <c r="B33" s="22">
        <f t="shared" si="1"/>
        <v>43034</v>
      </c>
      <c r="C33" s="23">
        <f t="shared" si="0"/>
        <v>43034</v>
      </c>
      <c r="D33" s="24" t="s">
        <v>3</v>
      </c>
      <c r="E33" s="25"/>
      <c r="F33" s="26">
        <f>IF(ISERROR(VLOOKUP(I33,設定!$B$3:$E$15,2,FALSE)),IF(OR(I33=0,I33=""),"","ERROR!!"),VLOOKUP(I33,設定!$B$3:$E$14,2,FALSE))</f>
        <v>0.375</v>
      </c>
      <c r="G33" s="24" t="s">
        <v>5</v>
      </c>
      <c r="H33" s="26">
        <f>IF(ISERROR(VLOOKUP(I33,設定!$B$3:$G$15,4,FALSE)),IF(OR(I33=0,I33=""),"","ERROR!!"),VLOOKUP(I33,設定!$B$3:$G$15,4,FALSE))</f>
        <v>0.75</v>
      </c>
      <c r="I33" s="27">
        <v>8</v>
      </c>
      <c r="J33" s="26"/>
    </row>
    <row r="34" spans="2:10" ht="17.25" customHeight="1" x14ac:dyDescent="0.15">
      <c r="B34" s="22">
        <f t="shared" si="1"/>
        <v>43035</v>
      </c>
      <c r="C34" s="23">
        <f t="shared" si="0"/>
        <v>43035</v>
      </c>
      <c r="D34" s="24" t="s">
        <v>81</v>
      </c>
      <c r="E34" s="25"/>
      <c r="F34" s="26">
        <f>IF(ISERROR(VLOOKUP(I34,設定!$B$3:$E$15,2,FALSE)),IF(OR(I34=0,I34=""),"","ERROR!!"),VLOOKUP(I34,設定!$B$3:$E$14,2,FALSE))</f>
        <v>0.375</v>
      </c>
      <c r="G34" s="24" t="s">
        <v>5</v>
      </c>
      <c r="H34" s="26">
        <f>IF(ISERROR(VLOOKUP(I34,設定!$B$3:$G$15,4,FALSE)),IF(OR(I34=0,I34=""),"","ERROR!!"),VLOOKUP(I34,設定!$B$3:$G$15,4,FALSE))</f>
        <v>0.70833333333333337</v>
      </c>
      <c r="I34" s="27">
        <v>7</v>
      </c>
      <c r="J34" s="26"/>
    </row>
    <row r="35" spans="2:10" ht="17.25" customHeight="1" x14ac:dyDescent="0.15">
      <c r="B35" s="22">
        <f t="shared" si="1"/>
        <v>43036</v>
      </c>
      <c r="C35" s="23">
        <f t="shared" si="0"/>
        <v>43036</v>
      </c>
      <c r="D35" s="24" t="s">
        <v>82</v>
      </c>
      <c r="E35" s="25"/>
      <c r="F35" s="26" t="str">
        <f>IF(ISERROR(VLOOKUP(I35,設定!$B$3:$E$15,2,FALSE)),IF(OR(I35=0,I35=""),"","ERROR!!"),VLOOKUP(I35,設定!$B$3:$E$14,2,FALSE))</f>
        <v/>
      </c>
      <c r="G35" s="24" t="s">
        <v>5</v>
      </c>
      <c r="H35" s="26" t="str">
        <f>IF(ISERROR(VLOOKUP(I35,設定!$B$3:$G$15,4,FALSE)),IF(OR(I35=0,I35=""),"","ERROR!!"),VLOOKUP(I35,設定!$B$3:$G$15,4,FALSE))</f>
        <v/>
      </c>
      <c r="I35" s="27"/>
      <c r="J35" s="26"/>
    </row>
    <row r="36" spans="2:10" ht="17.25" customHeight="1" x14ac:dyDescent="0.15">
      <c r="B36" s="22">
        <f t="shared" si="1"/>
        <v>43037</v>
      </c>
      <c r="C36" s="23">
        <f t="shared" si="0"/>
        <v>43037</v>
      </c>
      <c r="D36" s="24" t="s">
        <v>82</v>
      </c>
      <c r="E36" s="25"/>
      <c r="F36" s="26" t="str">
        <f>IF(ISERROR(VLOOKUP(I36,設定!$B$3:$E$15,2,FALSE)),IF(OR(I36=0,I36=""),"","ERROR!!"),VLOOKUP(I36,設定!$B$3:$E$14,2,FALSE))</f>
        <v/>
      </c>
      <c r="G36" s="24" t="s">
        <v>5</v>
      </c>
      <c r="H36" s="26" t="str">
        <f>IF(ISERROR(VLOOKUP(I36,設定!$B$3:$G$15,4,FALSE)),IF(OR(I36=0,I36=""),"","ERROR!!"),VLOOKUP(I36,設定!$B$3:$G$15,4,FALSE))</f>
        <v/>
      </c>
      <c r="I36" s="27"/>
      <c r="J36" s="26"/>
    </row>
    <row r="37" spans="2:10" ht="17.25" customHeight="1" x14ac:dyDescent="0.15">
      <c r="B37" s="22">
        <f t="shared" si="1"/>
        <v>43038</v>
      </c>
      <c r="C37" s="23">
        <f t="shared" ref="C37" si="2">B37</f>
        <v>43038</v>
      </c>
      <c r="D37" s="24" t="s">
        <v>81</v>
      </c>
      <c r="E37" s="25"/>
      <c r="F37" s="26">
        <f>IF(ISERROR(VLOOKUP(I37,設定!$B$3:$E$15,2,FALSE)),IF(OR(I37=0,I37=""),"","ERROR!!"),VLOOKUP(I37,設定!$B$3:$E$14,2,FALSE))</f>
        <v>0.375</v>
      </c>
      <c r="G37" s="24" t="s">
        <v>5</v>
      </c>
      <c r="H37" s="26">
        <f>IF(ISERROR(VLOOKUP(I37,設定!$B$3:$G$15,4,FALSE)),IF(OR(I37=0,I37=""),"","ERROR!!"),VLOOKUP(I37,設定!$B$3:$G$15,4,FALSE))</f>
        <v>0.75</v>
      </c>
      <c r="I37" s="27">
        <v>8</v>
      </c>
      <c r="J37" s="26"/>
    </row>
    <row r="38" spans="2:10" ht="17.25" customHeight="1" x14ac:dyDescent="0.15">
      <c r="B38" s="22">
        <f t="shared" si="1"/>
        <v>43039</v>
      </c>
      <c r="C38" s="23">
        <f t="shared" si="0"/>
        <v>43039</v>
      </c>
      <c r="D38" s="24" t="s">
        <v>81</v>
      </c>
      <c r="E38" s="25"/>
      <c r="F38" s="26">
        <f>IF(ISERROR(VLOOKUP(I38,設定!$B$3:$E$15,2,FALSE)),IF(OR(I38=0,I38=""),"","ERROR!!"),VLOOKUP(I38,設定!$B$3:$E$14,2,FALSE))</f>
        <v>0.375</v>
      </c>
      <c r="G38" s="24" t="s">
        <v>5</v>
      </c>
      <c r="H38" s="26">
        <f>IF(ISERROR(VLOOKUP(I38,設定!$B$3:$G$15,4,FALSE)),IF(OR(I38=0,I38=""),"","ERROR!!"),VLOOKUP(I38,設定!$B$3:$G$15,4,FALSE))</f>
        <v>0.75</v>
      </c>
      <c r="I38" s="27">
        <v>8</v>
      </c>
      <c r="J38" s="26"/>
    </row>
  </sheetData>
  <phoneticPr fontId="1"/>
  <conditionalFormatting sqref="D8:D36 D38">
    <cfRule type="expression" dxfId="7" priority="9">
      <formula>OR(D8="年休",D8="半年")</formula>
    </cfRule>
  </conditionalFormatting>
  <conditionalFormatting sqref="C38:J38 C36:J36 B36:B38 B8:J35">
    <cfRule type="expression" dxfId="6" priority="12">
      <formula>WEEKDAY($B8,2)=6</formula>
    </cfRule>
    <cfRule type="expression" dxfId="5" priority="13">
      <formula>WEEKDAY($B8,2)=7</formula>
    </cfRule>
  </conditionalFormatting>
  <conditionalFormatting sqref="D37">
    <cfRule type="expression" dxfId="4" priority="1">
      <formula>OR(D37="年休",D37="半年")</formula>
    </cfRule>
  </conditionalFormatting>
  <conditionalFormatting sqref="C37:J37">
    <cfRule type="expression" dxfId="3" priority="3">
      <formula>WEEKDAY($B37,2)=6</formula>
    </cfRule>
    <cfRule type="expression" dxfId="2" priority="4">
      <formula>WEEKDAY($B37,2)=7</formula>
    </cfRule>
  </conditionalFormatting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&amp;L株式会社 エムティーシステム</oddHead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BCE23C0F-0CE2-4490-AA05-4AABC7CA86A8}">
            <xm:f>VLOOKUP(TEXT($B8,"yyyy/m/d"),祝日!$A:$A,1,FALSE)&lt;&gt;""</xm:f>
            <x14:dxf>
              <font>
                <color rgb="FFFF0000"/>
              </font>
              <fill>
                <patternFill>
                  <bgColor theme="5" tint="0.79998168889431442"/>
                </patternFill>
              </fill>
            </x14:dxf>
          </x14:cfRule>
          <xm:sqref>C38:J38 C36:J36 B36:B38 B8:J35</xm:sqref>
        </x14:conditionalFormatting>
        <x14:conditionalFormatting xmlns:xm="http://schemas.microsoft.com/office/excel/2006/main">
          <x14:cfRule type="expression" priority="2" id="{1A2D21AA-14E4-4CC1-A55D-2C094398F735}">
            <xm:f>VLOOKUP(TEXT($B37,"yyyy/m/d"),祝日!$A:$A,1,FALSE)&lt;&gt;""</xm:f>
            <x14:dxf>
              <font>
                <color rgb="FFFF0000"/>
              </font>
              <fill>
                <patternFill>
                  <bgColor theme="5" tint="0.79998168889431442"/>
                </patternFill>
              </fill>
            </x14:dxf>
          </x14:cfRule>
          <xm:sqref>C37:J37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設定!$G$3:$G$15</xm:f>
          </x14:formula1>
          <xm:sqref>D8:D38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8"/>
  <sheetViews>
    <sheetView topLeftCell="A16" zoomScale="85" zoomScaleNormal="85" workbookViewId="0">
      <selection activeCell="B30" sqref="B30"/>
    </sheetView>
  </sheetViews>
  <sheetFormatPr defaultRowHeight="15.75" x14ac:dyDescent="0.15"/>
  <cols>
    <col min="1" max="1" width="11.625" style="1" bestFit="1" customWidth="1"/>
    <col min="2" max="2" width="13" style="1" bestFit="1" customWidth="1"/>
    <col min="3" max="16384" width="9" style="1"/>
  </cols>
  <sheetData>
    <row r="1" spans="1:2" x14ac:dyDescent="0.15">
      <c r="A1" s="7" t="s">
        <v>11</v>
      </c>
      <c r="B1" s="7" t="s">
        <v>12</v>
      </c>
    </row>
    <row r="2" spans="1:2" x14ac:dyDescent="0.15">
      <c r="A2" s="8" t="s">
        <v>13</v>
      </c>
      <c r="B2" s="2" t="s">
        <v>14</v>
      </c>
    </row>
    <row r="3" spans="1:2" x14ac:dyDescent="0.15">
      <c r="A3" s="8" t="s">
        <v>15</v>
      </c>
      <c r="B3" s="2" t="s">
        <v>16</v>
      </c>
    </row>
    <row r="4" spans="1:2" x14ac:dyDescent="0.15">
      <c r="A4" s="8" t="s">
        <v>17</v>
      </c>
      <c r="B4" s="2" t="s">
        <v>18</v>
      </c>
    </row>
    <row r="5" spans="1:2" x14ac:dyDescent="0.15">
      <c r="A5" s="8" t="s">
        <v>19</v>
      </c>
      <c r="B5" s="2" t="s">
        <v>20</v>
      </c>
    </row>
    <row r="6" spans="1:2" x14ac:dyDescent="0.15">
      <c r="A6" s="8" t="s">
        <v>21</v>
      </c>
      <c r="B6" s="2" t="s">
        <v>22</v>
      </c>
    </row>
    <row r="7" spans="1:2" x14ac:dyDescent="0.15">
      <c r="A7" s="8" t="s">
        <v>23</v>
      </c>
      <c r="B7" s="2" t="s">
        <v>24</v>
      </c>
    </row>
    <row r="8" spans="1:2" x14ac:dyDescent="0.15">
      <c r="A8" s="8" t="s">
        <v>25</v>
      </c>
      <c r="B8" s="2" t="s">
        <v>26</v>
      </c>
    </row>
    <row r="9" spans="1:2" x14ac:dyDescent="0.15">
      <c r="A9" s="8" t="s">
        <v>27</v>
      </c>
      <c r="B9" s="2" t="s">
        <v>28</v>
      </c>
    </row>
    <row r="10" spans="1:2" x14ac:dyDescent="0.15">
      <c r="A10" s="8" t="s">
        <v>29</v>
      </c>
      <c r="B10" s="2" t="s">
        <v>30</v>
      </c>
    </row>
    <row r="11" spans="1:2" x14ac:dyDescent="0.15">
      <c r="A11" s="8" t="s">
        <v>31</v>
      </c>
      <c r="B11" s="2" t="s">
        <v>32</v>
      </c>
    </row>
    <row r="12" spans="1:2" x14ac:dyDescent="0.15">
      <c r="A12" s="8" t="s">
        <v>33</v>
      </c>
      <c r="B12" s="2" t="s">
        <v>34</v>
      </c>
    </row>
    <row r="13" spans="1:2" x14ac:dyDescent="0.15">
      <c r="A13" s="8" t="s">
        <v>35</v>
      </c>
      <c r="B13" s="2" t="s">
        <v>36</v>
      </c>
    </row>
    <row r="14" spans="1:2" x14ac:dyDescent="0.15">
      <c r="A14" s="8" t="s">
        <v>37</v>
      </c>
      <c r="B14" s="2" t="s">
        <v>38</v>
      </c>
    </row>
    <row r="15" spans="1:2" x14ac:dyDescent="0.15">
      <c r="A15" s="8" t="s">
        <v>39</v>
      </c>
      <c r="B15" s="2" t="s">
        <v>40</v>
      </c>
    </row>
    <row r="16" spans="1:2" x14ac:dyDescent="0.15">
      <c r="A16" s="8" t="s">
        <v>41</v>
      </c>
      <c r="B16" s="2" t="s">
        <v>42</v>
      </c>
    </row>
    <row r="17" spans="1:2" x14ac:dyDescent="0.15">
      <c r="A17" s="8" t="s">
        <v>43</v>
      </c>
      <c r="B17" s="2" t="s">
        <v>44</v>
      </c>
    </row>
    <row r="18" spans="1:2" x14ac:dyDescent="0.15">
      <c r="A18" s="8" t="s">
        <v>45</v>
      </c>
      <c r="B18" s="2" t="s">
        <v>0</v>
      </c>
    </row>
    <row r="19" spans="1:2" x14ac:dyDescent="0.15">
      <c r="A19" s="8" t="s">
        <v>46</v>
      </c>
      <c r="B19" s="2" t="s">
        <v>14</v>
      </c>
    </row>
    <row r="20" spans="1:2" x14ac:dyDescent="0.15">
      <c r="A20" s="8" t="s">
        <v>72</v>
      </c>
      <c r="B20" s="2" t="s">
        <v>76</v>
      </c>
    </row>
    <row r="21" spans="1:2" x14ac:dyDescent="0.15">
      <c r="A21" s="8" t="s">
        <v>73</v>
      </c>
      <c r="B21" s="2" t="s">
        <v>77</v>
      </c>
    </row>
    <row r="22" spans="1:2" x14ac:dyDescent="0.15">
      <c r="A22" s="8" t="s">
        <v>74</v>
      </c>
      <c r="B22" s="2" t="s">
        <v>77</v>
      </c>
    </row>
    <row r="23" spans="1:2" x14ac:dyDescent="0.15">
      <c r="A23" s="8" t="s">
        <v>75</v>
      </c>
      <c r="B23" s="2" t="s">
        <v>77</v>
      </c>
    </row>
    <row r="24" spans="1:2" x14ac:dyDescent="0.15">
      <c r="A24" s="8" t="s">
        <v>47</v>
      </c>
      <c r="B24" s="2" t="s">
        <v>16</v>
      </c>
    </row>
    <row r="25" spans="1:2" x14ac:dyDescent="0.15">
      <c r="A25" s="8" t="s">
        <v>48</v>
      </c>
      <c r="B25" s="2" t="s">
        <v>18</v>
      </c>
    </row>
    <row r="26" spans="1:2" x14ac:dyDescent="0.15">
      <c r="A26" s="8" t="s">
        <v>49</v>
      </c>
      <c r="B26" s="2" t="s">
        <v>20</v>
      </c>
    </row>
    <row r="27" spans="1:2" x14ac:dyDescent="0.15">
      <c r="A27" s="8" t="s">
        <v>50</v>
      </c>
      <c r="B27" s="2" t="s">
        <v>24</v>
      </c>
    </row>
    <row r="28" spans="1:2" x14ac:dyDescent="0.15">
      <c r="A28" s="8" t="s">
        <v>51</v>
      </c>
      <c r="B28" s="2" t="s">
        <v>26</v>
      </c>
    </row>
    <row r="29" spans="1:2" x14ac:dyDescent="0.15">
      <c r="A29" s="8" t="s">
        <v>52</v>
      </c>
      <c r="B29" s="2" t="s">
        <v>28</v>
      </c>
    </row>
    <row r="30" spans="1:2" x14ac:dyDescent="0.15">
      <c r="A30" s="8" t="s">
        <v>53</v>
      </c>
      <c r="B30" s="2" t="s">
        <v>30</v>
      </c>
    </row>
    <row r="31" spans="1:2" x14ac:dyDescent="0.15">
      <c r="A31" s="8" t="s">
        <v>54</v>
      </c>
      <c r="B31" s="2" t="s">
        <v>32</v>
      </c>
    </row>
    <row r="32" spans="1:2" x14ac:dyDescent="0.15">
      <c r="A32" s="8" t="s">
        <v>55</v>
      </c>
      <c r="B32" s="2" t="s">
        <v>34</v>
      </c>
    </row>
    <row r="33" spans="1:2" x14ac:dyDescent="0.15">
      <c r="A33" s="8" t="s">
        <v>56</v>
      </c>
      <c r="B33" s="2" t="s">
        <v>36</v>
      </c>
    </row>
    <row r="34" spans="1:2" x14ac:dyDescent="0.15">
      <c r="A34" s="8" t="s">
        <v>57</v>
      </c>
      <c r="B34" s="2" t="s">
        <v>38</v>
      </c>
    </row>
    <row r="35" spans="1:2" x14ac:dyDescent="0.15">
      <c r="A35" s="8" t="s">
        <v>58</v>
      </c>
      <c r="B35" s="2" t="s">
        <v>59</v>
      </c>
    </row>
    <row r="36" spans="1:2" x14ac:dyDescent="0.15">
      <c r="A36" s="8" t="s">
        <v>60</v>
      </c>
      <c r="B36" s="2" t="s">
        <v>42</v>
      </c>
    </row>
    <row r="37" spans="1:2" x14ac:dyDescent="0.15">
      <c r="A37" s="8" t="s">
        <v>61</v>
      </c>
      <c r="B37" s="2" t="s">
        <v>44</v>
      </c>
    </row>
    <row r="38" spans="1:2" x14ac:dyDescent="0.15">
      <c r="A38" s="8" t="s">
        <v>62</v>
      </c>
      <c r="B38" s="2" t="s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I15"/>
  <sheetViews>
    <sheetView workbookViewId="0">
      <selection activeCell="G11" sqref="G11"/>
    </sheetView>
  </sheetViews>
  <sheetFormatPr defaultRowHeight="15.75" x14ac:dyDescent="0.15"/>
  <cols>
    <col min="1" max="1" width="3.5" style="1" customWidth="1"/>
    <col min="2" max="3" width="9" style="1" customWidth="1"/>
    <col min="4" max="4" width="3" style="1" bestFit="1" customWidth="1"/>
    <col min="5" max="5" width="9" style="1" customWidth="1"/>
    <col min="6" max="6" width="9" style="1"/>
    <col min="7" max="7" width="12.75" style="1" customWidth="1"/>
    <col min="8" max="16384" width="9" style="1"/>
  </cols>
  <sheetData>
    <row r="1" spans="2:9" x14ac:dyDescent="0.15">
      <c r="B1" s="1" t="s">
        <v>67</v>
      </c>
      <c r="G1" s="1" t="s">
        <v>68</v>
      </c>
    </row>
    <row r="2" spans="2:9" x14ac:dyDescent="0.15">
      <c r="B2" s="3" t="s">
        <v>8</v>
      </c>
      <c r="C2" s="3" t="s">
        <v>4</v>
      </c>
      <c r="D2" s="3"/>
      <c r="E2" s="3" t="s">
        <v>6</v>
      </c>
      <c r="G2" s="4" t="s">
        <v>3</v>
      </c>
    </row>
    <row r="3" spans="2:9" x14ac:dyDescent="0.15">
      <c r="B3" s="9">
        <v>7</v>
      </c>
      <c r="C3" s="10">
        <v>0.375</v>
      </c>
      <c r="D3" s="11" t="str">
        <f t="shared" ref="D3" si="0">IF(C3&lt;&gt;"","～","")</f>
        <v>～</v>
      </c>
      <c r="E3" s="10">
        <v>0.70833333333333337</v>
      </c>
      <c r="G3" s="2" t="s">
        <v>3</v>
      </c>
    </row>
    <row r="4" spans="2:9" x14ac:dyDescent="0.15">
      <c r="B4" s="9">
        <v>7.75</v>
      </c>
      <c r="C4" s="10">
        <v>0.375</v>
      </c>
      <c r="D4" s="11" t="str">
        <f t="shared" ref="D4" si="1">IF(C4&lt;&gt;"","～","")</f>
        <v>～</v>
      </c>
      <c r="E4" s="10">
        <v>0.73958333333333337</v>
      </c>
      <c r="G4" s="2" t="s">
        <v>63</v>
      </c>
    </row>
    <row r="5" spans="2:9" x14ac:dyDescent="0.15">
      <c r="B5" s="9">
        <v>8</v>
      </c>
      <c r="C5" s="10">
        <v>0.375</v>
      </c>
      <c r="D5" s="11" t="str">
        <f t="shared" ref="D5:D15" si="2">IF(C5&lt;&gt;"","～","")</f>
        <v>～</v>
      </c>
      <c r="E5" s="10">
        <v>0.75</v>
      </c>
      <c r="G5" s="2" t="s">
        <v>65</v>
      </c>
    </row>
    <row r="6" spans="2:9" x14ac:dyDescent="0.15">
      <c r="B6" s="9">
        <v>8.5</v>
      </c>
      <c r="C6" s="10">
        <v>0.375</v>
      </c>
      <c r="D6" s="11" t="str">
        <f t="shared" si="2"/>
        <v>～</v>
      </c>
      <c r="E6" s="10">
        <v>0.77083333333333337</v>
      </c>
      <c r="G6" s="2" t="s">
        <v>69</v>
      </c>
      <c r="I6" s="20" t="s">
        <v>70</v>
      </c>
    </row>
    <row r="7" spans="2:9" x14ac:dyDescent="0.15">
      <c r="B7" s="9">
        <v>9</v>
      </c>
      <c r="C7" s="10">
        <v>0.375</v>
      </c>
      <c r="D7" s="11" t="str">
        <f t="shared" si="2"/>
        <v>～</v>
      </c>
      <c r="E7" s="10">
        <v>0.79166666666666663</v>
      </c>
      <c r="G7" s="2" t="s">
        <v>64</v>
      </c>
      <c r="I7" s="20" t="s">
        <v>71</v>
      </c>
    </row>
    <row r="8" spans="2:9" x14ac:dyDescent="0.15">
      <c r="B8" s="9">
        <v>9.5</v>
      </c>
      <c r="C8" s="10">
        <v>0.375</v>
      </c>
      <c r="D8" s="11" t="str">
        <f t="shared" si="2"/>
        <v>～</v>
      </c>
      <c r="E8" s="10">
        <v>0.8125</v>
      </c>
      <c r="G8" s="2"/>
    </row>
    <row r="9" spans="2:9" x14ac:dyDescent="0.15">
      <c r="B9" s="9">
        <v>10</v>
      </c>
      <c r="C9" s="10">
        <v>0.375</v>
      </c>
      <c r="D9" s="11" t="str">
        <f t="shared" si="2"/>
        <v>～</v>
      </c>
      <c r="E9" s="10">
        <v>0.83333333333333337</v>
      </c>
      <c r="G9" s="2"/>
    </row>
    <row r="10" spans="2:9" x14ac:dyDescent="0.15">
      <c r="B10" s="9">
        <v>10.5</v>
      </c>
      <c r="C10" s="10">
        <v>0.375</v>
      </c>
      <c r="D10" s="11" t="str">
        <f t="shared" si="2"/>
        <v>～</v>
      </c>
      <c r="E10" s="10">
        <v>0.85416666666666663</v>
      </c>
      <c r="G10" s="2"/>
    </row>
    <row r="11" spans="2:9" x14ac:dyDescent="0.15">
      <c r="B11" s="9">
        <v>11</v>
      </c>
      <c r="C11" s="10">
        <v>0.375</v>
      </c>
      <c r="D11" s="11" t="str">
        <f t="shared" si="2"/>
        <v>～</v>
      </c>
      <c r="E11" s="10">
        <v>0.875</v>
      </c>
      <c r="G11" s="2"/>
    </row>
    <row r="12" spans="2:9" x14ac:dyDescent="0.15">
      <c r="B12" s="9">
        <v>11.5</v>
      </c>
      <c r="C12" s="10">
        <v>0.375</v>
      </c>
      <c r="D12" s="11" t="str">
        <f t="shared" si="2"/>
        <v>～</v>
      </c>
      <c r="E12" s="10">
        <v>0.89583333333333337</v>
      </c>
      <c r="G12" s="2"/>
    </row>
    <row r="13" spans="2:9" x14ac:dyDescent="0.15">
      <c r="B13" s="9">
        <v>12</v>
      </c>
      <c r="C13" s="10">
        <v>0.375</v>
      </c>
      <c r="D13" s="11" t="str">
        <f t="shared" si="2"/>
        <v>～</v>
      </c>
      <c r="E13" s="10">
        <v>0.91666666666666663</v>
      </c>
      <c r="G13" s="2"/>
    </row>
    <row r="14" spans="2:9" x14ac:dyDescent="0.15">
      <c r="B14" s="9">
        <v>12.5</v>
      </c>
      <c r="C14" s="10">
        <v>0.375</v>
      </c>
      <c r="D14" s="11" t="str">
        <f t="shared" si="2"/>
        <v>～</v>
      </c>
      <c r="E14" s="10">
        <v>0.9375</v>
      </c>
      <c r="G14" s="2"/>
    </row>
    <row r="15" spans="2:9" x14ac:dyDescent="0.15">
      <c r="B15" s="9">
        <v>13</v>
      </c>
      <c r="C15" s="10">
        <v>0.375</v>
      </c>
      <c r="D15" s="11" t="str">
        <f t="shared" si="2"/>
        <v>～</v>
      </c>
      <c r="E15" s="10">
        <v>0.95833333333333337</v>
      </c>
      <c r="G15" s="2"/>
    </row>
  </sheetData>
  <phoneticPr fontId="1"/>
  <dataValidations count="2">
    <dataValidation type="time" imeMode="disabled" allowBlank="1" showInputMessage="1" showErrorMessage="1" sqref="E3:E15 C3:C15">
      <formula1>0</formula1>
      <formula2>0.999988425925926</formula2>
    </dataValidation>
    <dataValidation imeMode="disabled" allowBlank="1" showInputMessage="1" showErrorMessage="1" sqref="D3:D15 B3:B15"/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InitializeSyukkin">
          <controlPr defaultSize="0" autoLine="0" r:id="rId5">
            <anchor moveWithCells="1">
              <from>
                <xdr:col>7</xdr:col>
                <xdr:colOff>190500</xdr:colOff>
                <xdr:row>1</xdr:row>
                <xdr:rowOff>19050</xdr:rowOff>
              </from>
              <to>
                <xdr:col>8</xdr:col>
                <xdr:colOff>542925</xdr:colOff>
                <xdr:row>2</xdr:row>
                <xdr:rowOff>190500</xdr:rowOff>
              </to>
            </anchor>
          </controlPr>
        </control>
      </mc:Choice>
      <mc:Fallback>
        <control shapeId="2049" r:id="rId4" name="InitializeSyukki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勤務票</vt:lpstr>
      <vt:lpstr>祝日</vt:lpstr>
      <vt:lpstr>設定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kkoyama(こやま かずのり)</dc:creator>
  <cp:lastModifiedBy>古田 徹</cp:lastModifiedBy>
  <cp:lastPrinted>2017-03-31T01:04:57Z</cp:lastPrinted>
  <dcterms:created xsi:type="dcterms:W3CDTF">2016-12-26T05:58:28Z</dcterms:created>
  <dcterms:modified xsi:type="dcterms:W3CDTF">2017-10-31T09:07:17Z</dcterms:modified>
</cp:coreProperties>
</file>