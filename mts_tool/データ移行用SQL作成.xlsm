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erver01\FileServer\受け渡し\小山\documents\"/>
    </mc:Choice>
  </mc:AlternateContent>
  <bookViews>
    <workbookView minimized="1" xWindow="0" yWindow="0" windowWidth="16950" windowHeight="7815" tabRatio="855" firstSheet="1" activeTab="1"/>
  </bookViews>
  <sheets>
    <sheet name="企業マスタ" sheetId="11" r:id="rId1"/>
    <sheet name="企業マスタ (2)" sheetId="16" r:id="rId2"/>
    <sheet name="インターンシップ" sheetId="9" r:id="rId3"/>
    <sheet name="会社説明会" sheetId="10" r:id="rId4"/>
    <sheet name="求人票" sheetId="7" r:id="rId5"/>
    <sheet name="お知らせ管理" sheetId="15" r:id="rId6"/>
    <sheet name="作業用・アカウント申請" sheetId="12" r:id="rId7"/>
    <sheet name="作業用・求人票" sheetId="14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16" l="1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D11" i="16"/>
  <c r="B40" i="15" l="1"/>
  <c r="B41" i="15"/>
  <c r="B39" i="15" l="1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D11" i="15"/>
  <c r="B98" i="14" l="1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D11" i="14"/>
  <c r="B66" i="7"/>
  <c r="B46" i="12" l="1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D11" i="12"/>
  <c r="B81" i="7" l="1"/>
  <c r="B80" i="7"/>
  <c r="B32" i="7"/>
  <c r="B31" i="7"/>
  <c r="B30" i="7"/>
  <c r="D11" i="11" l="1"/>
  <c r="D11" i="10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D11" i="9"/>
  <c r="D11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</calcChain>
</file>

<file path=xl/sharedStrings.xml><?xml version="1.0" encoding="utf-8"?>
<sst xmlns="http://schemas.openxmlformats.org/spreadsheetml/2006/main" count="2382" uniqueCount="686">
  <si>
    <t>企業コード</t>
  </si>
  <si>
    <t>company_code</t>
  </si>
  <si>
    <t>法人番号</t>
  </si>
  <si>
    <t>company_my_number</t>
  </si>
  <si>
    <t>法人形態ID</t>
  </si>
  <si>
    <t>corporate_form_id</t>
  </si>
  <si>
    <t>company_name</t>
  </si>
  <si>
    <t>company_kana_name</t>
  </si>
  <si>
    <t>検索用企業名</t>
  </si>
  <si>
    <t>search_company_name</t>
  </si>
  <si>
    <t>main_industry_class_code</t>
  </si>
  <si>
    <t>destination_area_assort</t>
  </si>
  <si>
    <t>postal_code</t>
  </si>
  <si>
    <t>prefecture</t>
  </si>
  <si>
    <t>本社所在市町村</t>
  </si>
  <si>
    <t>city</t>
  </si>
  <si>
    <t>本社所在丁目番地等</t>
  </si>
  <si>
    <t>city_block</t>
  </si>
  <si>
    <t>prefecture_code</t>
  </si>
  <si>
    <t>city_code</t>
  </si>
  <si>
    <t>tel_number</t>
  </si>
  <si>
    <t>company_capital</t>
  </si>
  <si>
    <t>company_establishment_year</t>
  </si>
  <si>
    <t>company_establishment_month</t>
  </si>
  <si>
    <t>sales</t>
  </si>
  <si>
    <t>employee_number</t>
  </si>
  <si>
    <t>stock_market_assort</t>
  </si>
  <si>
    <t>representative_name</t>
  </si>
  <si>
    <t>ホームページＵＲＬ</t>
  </si>
  <si>
    <t>company_hp_url</t>
  </si>
  <si>
    <t>supplementary_info</t>
  </si>
  <si>
    <t>学生公開フラグ</t>
  </si>
  <si>
    <t>public_student_flg</t>
  </si>
  <si>
    <t>closeed_reason</t>
  </si>
  <si>
    <t>company_closing_flg</t>
  </si>
  <si>
    <t>登記記録の閉鎖等年月日</t>
  </si>
  <si>
    <t>registration_company_closing_date</t>
  </si>
  <si>
    <t>登記記録の閉鎖等の事由</t>
  </si>
  <si>
    <t>registration_company_closing_reason</t>
  </si>
  <si>
    <t>承継先法人番号</t>
  </si>
  <si>
    <t>successor_my_number</t>
  </si>
  <si>
    <t>変更事由の詳細</t>
  </si>
  <si>
    <t>change_reason_detail</t>
  </si>
  <si>
    <t>採用担当者名</t>
  </si>
  <si>
    <t>recruiter_name</t>
  </si>
  <si>
    <t>採用担当役職名</t>
  </si>
  <si>
    <t>recruiter_position_name</t>
  </si>
  <si>
    <t>採用担当部署名</t>
  </si>
  <si>
    <t>recruiter_post_name</t>
  </si>
  <si>
    <t>recruiter_address_postcode</t>
  </si>
  <si>
    <t>採用担当都道府県</t>
  </si>
  <si>
    <t>recruiter_prefecture</t>
  </si>
  <si>
    <t>採用担当市町村</t>
  </si>
  <si>
    <t>recruiter_city</t>
  </si>
  <si>
    <t>採用担当丁目番地等</t>
  </si>
  <si>
    <t>recruiter_city_block</t>
  </si>
  <si>
    <t>採用担当県コード</t>
  </si>
  <si>
    <t>recruiter_prefecture_code</t>
  </si>
  <si>
    <t>採用担当電話番号</t>
  </si>
  <si>
    <t>recruiter_tel_number</t>
  </si>
  <si>
    <t>採用担当FAX番号</t>
  </si>
  <si>
    <t>recruiter_fax_number</t>
  </si>
  <si>
    <t>採用担当部門メアド</t>
  </si>
  <si>
    <t>recruiter_section_mail_address</t>
  </si>
  <si>
    <t>採用担当メアド</t>
  </si>
  <si>
    <t>recruiter__mail_address</t>
  </si>
  <si>
    <t>備考</t>
  </si>
  <si>
    <t>note</t>
  </si>
  <si>
    <t>first_maintenance_flg</t>
  </si>
  <si>
    <t>表示フラグ</t>
  </si>
  <si>
    <t>display_flg</t>
  </si>
  <si>
    <t>削除済フラグ</t>
    <rPh sb="2" eb="3">
      <t>スミ</t>
    </rPh>
    <phoneticPr fontId="4"/>
  </si>
  <si>
    <t>delete_flg</t>
  </si>
  <si>
    <t>登録日時</t>
    <rPh sb="0" eb="2">
      <t>トウロク</t>
    </rPh>
    <rPh sb="2" eb="4">
      <t>ニチジ</t>
    </rPh>
    <phoneticPr fontId="4"/>
  </si>
  <si>
    <t>regist_datetime</t>
  </si>
  <si>
    <t>登録者ID</t>
    <rPh sb="0" eb="2">
      <t>トウロク</t>
    </rPh>
    <rPh sb="2" eb="3">
      <t>シャ</t>
    </rPh>
    <phoneticPr fontId="4"/>
  </si>
  <si>
    <t>regist_userid</t>
  </si>
  <si>
    <t>更新日時</t>
    <rPh sb="2" eb="4">
      <t>ニチジ</t>
    </rPh>
    <phoneticPr fontId="4"/>
  </si>
  <si>
    <t>update_datetime</t>
  </si>
  <si>
    <t>更新者ID</t>
    <rPh sb="0" eb="3">
      <t>コウシンシャ</t>
    </rPh>
    <phoneticPr fontId="4"/>
  </si>
  <si>
    <t>update_userid</t>
  </si>
  <si>
    <t>オプションカラム1</t>
  </si>
  <si>
    <t>option1</t>
  </si>
  <si>
    <t>オプションカラム2</t>
  </si>
  <si>
    <t>option2</t>
  </si>
  <si>
    <t>オプションカラム3</t>
  </si>
  <si>
    <t>option3</t>
  </si>
  <si>
    <t>オプションカラム4</t>
  </si>
  <si>
    <t>option4</t>
  </si>
  <si>
    <t>オプションカラム5</t>
  </si>
  <si>
    <t>option5</t>
  </si>
  <si>
    <t>データ移行用カラム</t>
    <rPh sb="3" eb="5">
      <t>イコウ</t>
    </rPh>
    <rPh sb="5" eb="6">
      <t>ヨウ</t>
    </rPh>
    <phoneticPr fontId="4"/>
  </si>
  <si>
    <t>data_migration</t>
  </si>
  <si>
    <t>外部セミナーID</t>
  </si>
  <si>
    <t>受付日</t>
    <rPh sb="0" eb="3">
      <t>ウケツケビ</t>
    </rPh>
    <phoneticPr fontId="4"/>
  </si>
  <si>
    <t>外部セミナーサイトURL</t>
  </si>
  <si>
    <t>seminar_url</t>
  </si>
  <si>
    <t>公開開始日</t>
  </si>
  <si>
    <t>public_start_date</t>
  </si>
  <si>
    <t>公開終了日</t>
  </si>
  <si>
    <t>public_end_date</t>
  </si>
  <si>
    <t>seminar_note</t>
  </si>
  <si>
    <t>学生公開フラグ</t>
    <rPh sb="0" eb="2">
      <t>ガクセイ</t>
    </rPh>
    <rPh sb="2" eb="4">
      <t>コウカイ</t>
    </rPh>
    <phoneticPr fontId="4"/>
  </si>
  <si>
    <t>承認フラグ</t>
    <rPh sb="0" eb="2">
      <t>ショウニン</t>
    </rPh>
    <phoneticPr fontId="4"/>
  </si>
  <si>
    <t>登録ユーザー区分</t>
    <rPh sb="0" eb="2">
      <t>トウロク</t>
    </rPh>
    <rPh sb="6" eb="8">
      <t>クブン</t>
    </rPh>
    <phoneticPr fontId="4"/>
  </si>
  <si>
    <t>ソート順</t>
  </si>
  <si>
    <t>sort_order</t>
  </si>
  <si>
    <t>public_student_flg</t>
    <phoneticPr fontId="4"/>
  </si>
  <si>
    <t>recognition_flg</t>
    <phoneticPr fontId="4"/>
  </si>
  <si>
    <t>承認日時</t>
    <rPh sb="0" eb="2">
      <t>ショウニン</t>
    </rPh>
    <rPh sb="2" eb="4">
      <t>ニチジ</t>
    </rPh>
    <phoneticPr fontId="4"/>
  </si>
  <si>
    <t>recognition_datetime</t>
    <phoneticPr fontId="4"/>
  </si>
  <si>
    <t>承認者ID</t>
    <rPh sb="0" eb="2">
      <t>ショウニン</t>
    </rPh>
    <rPh sb="2" eb="3">
      <t>シャ</t>
    </rPh>
    <phoneticPr fontId="4"/>
  </si>
  <si>
    <t>表示フラグ</t>
    <phoneticPr fontId="4"/>
  </si>
  <si>
    <t>regist_datetime</t>
    <phoneticPr fontId="4"/>
  </si>
  <si>
    <t>update_datetime</t>
    <phoneticPr fontId="4"/>
  </si>
  <si>
    <t>update_userid</t>
    <phoneticPr fontId="4"/>
  </si>
  <si>
    <t>data_migration</t>
    <phoneticPr fontId="4"/>
  </si>
  <si>
    <t>reception_date</t>
    <phoneticPr fontId="4"/>
  </si>
  <si>
    <t>recognition_userid</t>
    <phoneticPr fontId="4"/>
  </si>
  <si>
    <t>registered_user_assort</t>
    <phoneticPr fontId="4"/>
  </si>
  <si>
    <t>delete_flg</t>
    <phoneticPr fontId="4"/>
  </si>
  <si>
    <t>regist_userid</t>
    <phoneticPr fontId="4"/>
  </si>
  <si>
    <t>設定値</t>
    <rPh sb="0" eb="3">
      <t>セッテイチ</t>
    </rPh>
    <phoneticPr fontId="9"/>
  </si>
  <si>
    <t>1</t>
    <phoneticPr fontId="4"/>
  </si>
  <si>
    <t>null</t>
    <phoneticPr fontId="4"/>
  </si>
  <si>
    <t>更新ユーザー区分</t>
    <rPh sb="0" eb="2">
      <t>コウシン</t>
    </rPh>
    <rPh sb="6" eb="8">
      <t>クブン</t>
    </rPh>
    <phoneticPr fontId="4"/>
  </si>
  <si>
    <t>updated_user_assort</t>
    <phoneticPr fontId="4"/>
  </si>
  <si>
    <t>1</t>
    <phoneticPr fontId="9"/>
  </si>
  <si>
    <t>求人票ID</t>
    <rPh sb="0" eb="3">
      <t>キュウジンヒョウ</t>
    </rPh>
    <phoneticPr fontId="4"/>
  </si>
  <si>
    <t>rrs_id</t>
    <phoneticPr fontId="4"/>
  </si>
  <si>
    <t>school_company_code</t>
    <phoneticPr fontId="4"/>
  </si>
  <si>
    <t>recruit_year</t>
    <phoneticPr fontId="4"/>
  </si>
  <si>
    <t>3月卒業向けフラグ</t>
    <rPh sb="1" eb="2">
      <t>ガツ</t>
    </rPh>
    <rPh sb="2" eb="4">
      <t>ソツギョウ</t>
    </rPh>
    <rPh sb="4" eb="5">
      <t>ム</t>
    </rPh>
    <phoneticPr fontId="4"/>
  </si>
  <si>
    <t>9月卒業向けフラグ</t>
    <rPh sb="1" eb="2">
      <t>ガツ</t>
    </rPh>
    <rPh sb="2" eb="4">
      <t>ソツギョウ</t>
    </rPh>
    <rPh sb="4" eb="5">
      <t>ム</t>
    </rPh>
    <phoneticPr fontId="4"/>
  </si>
  <si>
    <t>september_graduation_flg</t>
    <phoneticPr fontId="4"/>
  </si>
  <si>
    <t>管理部署種別</t>
    <rPh sb="0" eb="2">
      <t>カンリ</t>
    </rPh>
    <rPh sb="2" eb="4">
      <t>ブショ</t>
    </rPh>
    <rPh sb="4" eb="6">
      <t>シュベツ</t>
    </rPh>
    <phoneticPr fontId="4"/>
  </si>
  <si>
    <t>management_assort</t>
    <phoneticPr fontId="4"/>
  </si>
  <si>
    <t>おすすめ度</t>
  </si>
  <si>
    <t>recomend_info</t>
  </si>
  <si>
    <t>おすすめ理由</t>
  </si>
  <si>
    <t>recomend_reason</t>
  </si>
  <si>
    <t>apply_start_date</t>
    <phoneticPr fontId="4"/>
  </si>
  <si>
    <t>応募締切日</t>
    <phoneticPr fontId="4"/>
  </si>
  <si>
    <t>apply_end_date</t>
    <phoneticPr fontId="4"/>
  </si>
  <si>
    <t>public_start_date</t>
    <phoneticPr fontId="4"/>
  </si>
  <si>
    <t>非公開理由</t>
  </si>
  <si>
    <t>school_visit_flg</t>
    <phoneticPr fontId="4"/>
  </si>
  <si>
    <t>推薦人数</t>
    <rPh sb="0" eb="2">
      <t>スイセン</t>
    </rPh>
    <rPh sb="2" eb="4">
      <t>ニンズウ</t>
    </rPh>
    <phoneticPr fontId="4"/>
  </si>
  <si>
    <t>recommendation_count</t>
    <phoneticPr fontId="4"/>
  </si>
  <si>
    <t>rrr_age_limit</t>
  </si>
  <si>
    <t>事業所名</t>
    <rPh sb="0" eb="2">
      <t>ジギョウ</t>
    </rPh>
    <rPh sb="2" eb="3">
      <t>トコロ</t>
    </rPh>
    <rPh sb="3" eb="4">
      <t>メイ</t>
    </rPh>
    <phoneticPr fontId="4"/>
  </si>
  <si>
    <t>facilities_name</t>
    <phoneticPr fontId="4"/>
  </si>
  <si>
    <t>業務内容</t>
    <rPh sb="0" eb="2">
      <t>ギョウム</t>
    </rPh>
    <rPh sb="2" eb="4">
      <t>ナイヨウ</t>
    </rPh>
    <phoneticPr fontId="4"/>
  </si>
  <si>
    <t>business_outline</t>
    <phoneticPr fontId="4"/>
  </si>
  <si>
    <t>インターンシップID</t>
  </si>
  <si>
    <t>キャンパス種別</t>
    <rPh sb="5" eb="7">
      <t>シュベツ</t>
    </rPh>
    <phoneticPr fontId="4"/>
  </si>
  <si>
    <t>campus_assort</t>
    <phoneticPr fontId="4"/>
  </si>
  <si>
    <t>学校企業コード</t>
    <phoneticPr fontId="4"/>
  </si>
  <si>
    <t>実施開始時期</t>
    <rPh sb="2" eb="4">
      <t>カイシ</t>
    </rPh>
    <rPh sb="4" eb="6">
      <t>ジキ</t>
    </rPh>
    <phoneticPr fontId="4"/>
  </si>
  <si>
    <t>実施終了時期</t>
    <rPh sb="2" eb="4">
      <t>シュウリョウ</t>
    </rPh>
    <rPh sb="4" eb="6">
      <t>ジキ</t>
    </rPh>
    <phoneticPr fontId="4"/>
  </si>
  <si>
    <t>インターンシップ先名称</t>
    <rPh sb="8" eb="9">
      <t>サキ</t>
    </rPh>
    <rPh sb="9" eb="11">
      <t>メイショウ</t>
    </rPh>
    <phoneticPr fontId="4"/>
  </si>
  <si>
    <t>インターンシップ先事業署名</t>
    <rPh sb="8" eb="9">
      <t>サキ</t>
    </rPh>
    <rPh sb="9" eb="11">
      <t>ジギョウ</t>
    </rPh>
    <rPh sb="11" eb="13">
      <t>ショメイ</t>
    </rPh>
    <phoneticPr fontId="4"/>
  </si>
  <si>
    <t>備考</t>
    <phoneticPr fontId="4"/>
  </si>
  <si>
    <t>お勧め区分</t>
    <rPh sb="1" eb="2">
      <t>スス</t>
    </rPh>
    <rPh sb="3" eb="5">
      <t>クブン</t>
    </rPh>
    <phoneticPr fontId="4"/>
  </si>
  <si>
    <t>recommend_kbn</t>
    <phoneticPr fontId="4"/>
  </si>
  <si>
    <t>職種備考</t>
    <rPh sb="0" eb="2">
      <t>ショクシュ</t>
    </rPh>
    <rPh sb="2" eb="4">
      <t>ビコウ</t>
    </rPh>
    <phoneticPr fontId="4"/>
  </si>
  <si>
    <t>求人年度</t>
    <phoneticPr fontId="4"/>
  </si>
  <si>
    <t>受付日</t>
    <phoneticPr fontId="4"/>
  </si>
  <si>
    <t>来校求人フラグ</t>
    <phoneticPr fontId="4"/>
  </si>
  <si>
    <t>年齢制限</t>
    <phoneticPr fontId="4"/>
  </si>
  <si>
    <t>job_class_note</t>
    <phoneticPr fontId="4"/>
  </si>
  <si>
    <t>note</t>
    <phoneticPr fontId="4"/>
  </si>
  <si>
    <t>No</t>
    <phoneticPr fontId="4"/>
  </si>
  <si>
    <t>論理名</t>
    <phoneticPr fontId="4"/>
  </si>
  <si>
    <t>物理名</t>
  </si>
  <si>
    <t>データ型</t>
    <phoneticPr fontId="4"/>
  </si>
  <si>
    <t>Not Null</t>
  </si>
  <si>
    <t>デフォルト</t>
  </si>
  <si>
    <t>serial</t>
    <phoneticPr fontId="4"/>
  </si>
  <si>
    <t>Yes</t>
  </si>
  <si>
    <t/>
  </si>
  <si>
    <t>text</t>
    <phoneticPr fontId="4"/>
  </si>
  <si>
    <t>company</t>
    <phoneticPr fontId="4"/>
  </si>
  <si>
    <t>integer</t>
    <phoneticPr fontId="4"/>
  </si>
  <si>
    <t>Yes</t>
    <phoneticPr fontId="4"/>
  </si>
  <si>
    <t>march_graduation_flg</t>
    <phoneticPr fontId="4"/>
  </si>
  <si>
    <t>0</t>
  </si>
  <si>
    <t>1：3月卒業を対象とする　0：3月卒業を対象としない</t>
    <rPh sb="3" eb="4">
      <t>ガツ</t>
    </rPh>
    <rPh sb="4" eb="6">
      <t>ソツギョウ</t>
    </rPh>
    <rPh sb="7" eb="8">
      <t>タイ</t>
    </rPh>
    <rPh sb="8" eb="9">
      <t>ゾウ</t>
    </rPh>
    <rPh sb="16" eb="17">
      <t>ガツ</t>
    </rPh>
    <rPh sb="17" eb="19">
      <t>ソツギョウ</t>
    </rPh>
    <rPh sb="20" eb="22">
      <t>タイショウ</t>
    </rPh>
    <phoneticPr fontId="4"/>
  </si>
  <si>
    <t>Yes</t>
    <phoneticPr fontId="4"/>
  </si>
  <si>
    <t>1：9月卒業を対象とする　0：9月卒業を対象としない</t>
    <rPh sb="3" eb="4">
      <t>ガツ</t>
    </rPh>
    <rPh sb="4" eb="6">
      <t>ソツギョウ</t>
    </rPh>
    <rPh sb="7" eb="8">
      <t>タイ</t>
    </rPh>
    <rPh sb="8" eb="9">
      <t>ゾウ</t>
    </rPh>
    <rPh sb="16" eb="17">
      <t>ガツ</t>
    </rPh>
    <rPh sb="17" eb="19">
      <t>ソツギョウ</t>
    </rPh>
    <rPh sb="20" eb="22">
      <t>タイショウ</t>
    </rPh>
    <phoneticPr fontId="4"/>
  </si>
  <si>
    <t>text</t>
    <phoneticPr fontId="4"/>
  </si>
  <si>
    <t>管理部署マスタ</t>
    <rPh sb="0" eb="1">
      <t>カンリ</t>
    </rPh>
    <rPh sb="1" eb="3">
      <t>ブショ</t>
    </rPh>
    <phoneticPr fontId="4"/>
  </si>
  <si>
    <t>integer</t>
  </si>
  <si>
    <t>フェーズ1では未使用？</t>
    <rPh sb="6" eb="9">
      <t>ミシヨウ</t>
    </rPh>
    <phoneticPr fontId="4"/>
  </si>
  <si>
    <t>text</t>
  </si>
  <si>
    <t>date</t>
  </si>
  <si>
    <t>応募開始日</t>
    <phoneticPr fontId="4"/>
  </si>
  <si>
    <t>apply_start_date</t>
    <phoneticPr fontId="4"/>
  </si>
  <si>
    <t>※青学仕様としては公開開始日と同日を設定</t>
    <rPh sb="0" eb="2">
      <t>シヨウ</t>
    </rPh>
    <rPh sb="6" eb="8">
      <t>コウカイ</t>
    </rPh>
    <rPh sb="8" eb="11">
      <t>カイシビ</t>
    </rPh>
    <rPh sb="12" eb="14">
      <t>ドウジツ</t>
    </rPh>
    <rPh sb="15" eb="17">
      <t>セッテイ</t>
    </rPh>
    <phoneticPr fontId="4"/>
  </si>
  <si>
    <t>public_start_date</t>
    <phoneticPr fontId="4"/>
  </si>
  <si>
    <t>※青学仕様としては応募締切日と同日を設定</t>
    <rPh sb="0" eb="2">
      <t>シヨウ</t>
    </rPh>
    <rPh sb="6" eb="8">
      <t>コウカイ</t>
    </rPh>
    <rPh sb="9" eb="11">
      <t>オウボ</t>
    </rPh>
    <rPh sb="11" eb="14">
      <t>シメキリビ</t>
    </rPh>
    <rPh sb="15" eb="17">
      <t>セッテイ</t>
    </rPh>
    <phoneticPr fontId="4"/>
  </si>
  <si>
    <t>学生公開フラグ</t>
    <rPh sb="0" eb="2">
      <t>ガクセイ</t>
    </rPh>
    <rPh sb="2" eb="4">
      <t>コウカイ</t>
    </rPh>
    <phoneticPr fontId="6"/>
  </si>
  <si>
    <t>0</t>
    <phoneticPr fontId="4"/>
  </si>
  <si>
    <t>1：公開　0：非公開</t>
    <rPh sb="1" eb="3">
      <t>コウカイ</t>
    </rPh>
    <rPh sb="7" eb="10">
      <t>ヒコウカイ</t>
    </rPh>
    <phoneticPr fontId="4"/>
  </si>
  <si>
    <t>0</t>
    <phoneticPr fontId="4"/>
  </si>
  <si>
    <t>応募方法種別が「推薦」系の場合のみ</t>
    <rPh sb="0" eb="1">
      <t>オウボ</t>
    </rPh>
    <rPh sb="1" eb="3">
      <t>ホウホウ</t>
    </rPh>
    <rPh sb="3" eb="5">
      <t>シュベツ</t>
    </rPh>
    <rPh sb="8" eb="10">
      <t>スイセン</t>
    </rPh>
    <rPh sb="11" eb="12">
      <t>ケイ</t>
    </rPh>
    <rPh sb="13" eb="15">
      <t>バアイ</t>
    </rPh>
    <phoneticPr fontId="4"/>
  </si>
  <si>
    <t>text</t>
    <phoneticPr fontId="4"/>
  </si>
  <si>
    <t xml:space="preserve">
2016/9/21　追加
職種でその他を選択した場合の備考欄
</t>
    <rPh sb="13" eb="14">
      <t>ショクシュ</t>
    </rPh>
    <rPh sb="17" eb="18">
      <t>タ</t>
    </rPh>
    <rPh sb="19" eb="21">
      <t>センタク</t>
    </rPh>
    <rPh sb="23" eb="25">
      <t>バアイ</t>
    </rPh>
    <rPh sb="26" eb="28">
      <t>ビコウ</t>
    </rPh>
    <rPh sb="28" eb="29">
      <t>ラン</t>
    </rPh>
    <phoneticPr fontId="4"/>
  </si>
  <si>
    <t>採用予定人数</t>
    <rPh sb="0" eb="2">
      <t>サイヨウ</t>
    </rPh>
    <rPh sb="2" eb="4">
      <t>ヨテイ</t>
    </rPh>
    <rPh sb="4" eb="5">
      <t>ニン</t>
    </rPh>
    <rPh sb="5" eb="6">
      <t>スウ</t>
    </rPh>
    <phoneticPr fontId="4"/>
  </si>
  <si>
    <t>adopt_plan_count</t>
    <phoneticPr fontId="4"/>
  </si>
  <si>
    <t>2016/10/14　求人票項目追加対応</t>
    <rPh sb="10" eb="13">
      <t>キュウジンヒョウ</t>
    </rPh>
    <rPh sb="13" eb="15">
      <t>コウモク</t>
    </rPh>
    <rPh sb="15" eb="17">
      <t>ツイカ</t>
    </rPh>
    <rPh sb="17" eb="19">
      <t>タイオウ</t>
    </rPh>
    <phoneticPr fontId="4"/>
  </si>
  <si>
    <t>前年度採用実績人数(男性)</t>
    <rPh sb="0" eb="3">
      <t>ゼンネンド</t>
    </rPh>
    <rPh sb="3" eb="5">
      <t>サイヨウ</t>
    </rPh>
    <rPh sb="5" eb="7">
      <t>ジッセキ</t>
    </rPh>
    <rPh sb="7" eb="9">
      <t>ニンズウ</t>
    </rPh>
    <rPh sb="10" eb="12">
      <t>ダンセイ</t>
    </rPh>
    <phoneticPr fontId="4"/>
  </si>
  <si>
    <t>previous_adopt_man_count</t>
    <phoneticPr fontId="4"/>
  </si>
  <si>
    <t>前年度採用実績人数(女性)</t>
    <rPh sb="0" eb="3">
      <t>ゼンネンド</t>
    </rPh>
    <rPh sb="3" eb="5">
      <t>サイヨウ</t>
    </rPh>
    <rPh sb="5" eb="7">
      <t>ジッセキ</t>
    </rPh>
    <rPh sb="7" eb="9">
      <t>ニンズウ</t>
    </rPh>
    <rPh sb="10" eb="12">
      <t>ジョセイ</t>
    </rPh>
    <phoneticPr fontId="4"/>
  </si>
  <si>
    <t>previous_adopt_woman_count</t>
    <phoneticPr fontId="4"/>
  </si>
  <si>
    <t>連絡先</t>
    <rPh sb="0" eb="3">
      <t>レンラクサキ</t>
    </rPh>
    <phoneticPr fontId="4"/>
  </si>
  <si>
    <t>contact_information</t>
    <phoneticPr fontId="4"/>
  </si>
  <si>
    <t>エントリー方法・その他</t>
    <rPh sb="5" eb="7">
      <t>ホウホウ</t>
    </rPh>
    <rPh sb="10" eb="11">
      <t>タ</t>
    </rPh>
    <phoneticPr fontId="4"/>
  </si>
  <si>
    <t>entry_method_etc</t>
    <phoneticPr fontId="4"/>
  </si>
  <si>
    <t>給与(学歴1)</t>
    <rPh sb="0" eb="2">
      <t>キュウヨ</t>
    </rPh>
    <rPh sb="3" eb="5">
      <t>ガクレキ</t>
    </rPh>
    <phoneticPr fontId="4"/>
  </si>
  <si>
    <t>salary_background1</t>
    <phoneticPr fontId="4"/>
  </si>
  <si>
    <t>給与(職種1)</t>
    <rPh sb="0" eb="2">
      <t>キュウヨ</t>
    </rPh>
    <rPh sb="3" eb="5">
      <t>ショクシュ</t>
    </rPh>
    <phoneticPr fontId="4"/>
  </si>
  <si>
    <t>salary_job1</t>
    <phoneticPr fontId="4"/>
  </si>
  <si>
    <t>給与(基本給1)</t>
    <rPh sb="0" eb="2">
      <t>キュウヨ</t>
    </rPh>
    <rPh sb="3" eb="6">
      <t>キホンキュウ</t>
    </rPh>
    <phoneticPr fontId="4"/>
  </si>
  <si>
    <t>salary_base1</t>
    <phoneticPr fontId="4"/>
  </si>
  <si>
    <t>給与(手当1)</t>
    <rPh sb="0" eb="2">
      <t>キュウヨ</t>
    </rPh>
    <rPh sb="3" eb="5">
      <t>テアテ</t>
    </rPh>
    <phoneticPr fontId="4"/>
  </si>
  <si>
    <t>salary_allowance1</t>
    <phoneticPr fontId="4"/>
  </si>
  <si>
    <t>給与(備考1)</t>
    <rPh sb="0" eb="2">
      <t>キュウヨ</t>
    </rPh>
    <rPh sb="3" eb="5">
      <t>ビコウ</t>
    </rPh>
    <phoneticPr fontId="4"/>
  </si>
  <si>
    <t>salary_note1</t>
    <phoneticPr fontId="4"/>
  </si>
  <si>
    <t>給与(学歴2)</t>
    <rPh sb="0" eb="2">
      <t>キュウヨ</t>
    </rPh>
    <rPh sb="3" eb="5">
      <t>ガクレキ</t>
    </rPh>
    <phoneticPr fontId="4"/>
  </si>
  <si>
    <t>salary_background2</t>
    <phoneticPr fontId="4"/>
  </si>
  <si>
    <t>給与(職種2)</t>
    <rPh sb="0" eb="2">
      <t>キュウヨ</t>
    </rPh>
    <rPh sb="3" eb="5">
      <t>ショクシュ</t>
    </rPh>
    <phoneticPr fontId="4"/>
  </si>
  <si>
    <t>salary_job2</t>
    <phoneticPr fontId="4"/>
  </si>
  <si>
    <t>給与(基本給2)</t>
    <rPh sb="0" eb="2">
      <t>キュウヨ</t>
    </rPh>
    <rPh sb="3" eb="6">
      <t>キホンキュウ</t>
    </rPh>
    <phoneticPr fontId="4"/>
  </si>
  <si>
    <t>salary_base2</t>
    <phoneticPr fontId="4"/>
  </si>
  <si>
    <t>給与(手当2)</t>
    <rPh sb="0" eb="2">
      <t>キュウヨ</t>
    </rPh>
    <rPh sb="3" eb="5">
      <t>テアテ</t>
    </rPh>
    <phoneticPr fontId="4"/>
  </si>
  <si>
    <t>salary_allowance2</t>
    <phoneticPr fontId="4"/>
  </si>
  <si>
    <t>給与(備考2)</t>
    <rPh sb="0" eb="2">
      <t>キュウヨ</t>
    </rPh>
    <rPh sb="3" eb="5">
      <t>ビコウ</t>
    </rPh>
    <phoneticPr fontId="4"/>
  </si>
  <si>
    <t>salary_note2</t>
    <phoneticPr fontId="4"/>
  </si>
  <si>
    <t>給与(学歴3)</t>
    <rPh sb="0" eb="2">
      <t>キュウヨ</t>
    </rPh>
    <rPh sb="3" eb="5">
      <t>ガクレキ</t>
    </rPh>
    <phoneticPr fontId="4"/>
  </si>
  <si>
    <t>salary_background3</t>
    <phoneticPr fontId="4"/>
  </si>
  <si>
    <t>給与(職種3)</t>
    <rPh sb="0" eb="2">
      <t>キュウヨ</t>
    </rPh>
    <rPh sb="3" eb="5">
      <t>ショクシュ</t>
    </rPh>
    <phoneticPr fontId="4"/>
  </si>
  <si>
    <t>salary_job3</t>
    <phoneticPr fontId="4"/>
  </si>
  <si>
    <t>給与(基本給3)</t>
    <rPh sb="0" eb="2">
      <t>キュウヨ</t>
    </rPh>
    <rPh sb="3" eb="6">
      <t>キホンキュウ</t>
    </rPh>
    <phoneticPr fontId="4"/>
  </si>
  <si>
    <t>salary_base3</t>
    <phoneticPr fontId="4"/>
  </si>
  <si>
    <t>給与(手当3)</t>
    <rPh sb="0" eb="2">
      <t>キュウヨ</t>
    </rPh>
    <rPh sb="3" eb="5">
      <t>テアテ</t>
    </rPh>
    <phoneticPr fontId="4"/>
  </si>
  <si>
    <t>salary_allowance3</t>
    <phoneticPr fontId="4"/>
  </si>
  <si>
    <t>給与(備考3)</t>
    <rPh sb="0" eb="2">
      <t>キュウヨ</t>
    </rPh>
    <rPh sb="3" eb="5">
      <t>ビコウ</t>
    </rPh>
    <phoneticPr fontId="4"/>
  </si>
  <si>
    <t>salary_note3</t>
    <phoneticPr fontId="4"/>
  </si>
  <si>
    <t>賞与</t>
    <rPh sb="0" eb="2">
      <t>ショウヨ</t>
    </rPh>
    <phoneticPr fontId="4"/>
  </si>
  <si>
    <t>bonus</t>
    <phoneticPr fontId="4"/>
  </si>
  <si>
    <t>昇給</t>
    <rPh sb="0" eb="2">
      <t>ショウキュウ</t>
    </rPh>
    <phoneticPr fontId="4"/>
  </si>
  <si>
    <t>salary_raise</t>
    <phoneticPr fontId="4"/>
  </si>
  <si>
    <t>通勤手当</t>
    <rPh sb="0" eb="2">
      <t>ツウキン</t>
    </rPh>
    <rPh sb="2" eb="4">
      <t>テアテ</t>
    </rPh>
    <phoneticPr fontId="4"/>
  </si>
  <si>
    <t>commuting_allowance</t>
    <phoneticPr fontId="4"/>
  </si>
  <si>
    <t>勤務開始＿時</t>
    <rPh sb="0" eb="2">
      <t>キンム</t>
    </rPh>
    <rPh sb="2" eb="4">
      <t>カイシ</t>
    </rPh>
    <rPh sb="5" eb="6">
      <t>ジ</t>
    </rPh>
    <phoneticPr fontId="4"/>
  </si>
  <si>
    <t>work_start_hour</t>
    <phoneticPr fontId="4"/>
  </si>
  <si>
    <t>勤務開始＿分</t>
    <rPh sb="0" eb="2">
      <t>キンム</t>
    </rPh>
    <rPh sb="2" eb="4">
      <t>カイシ</t>
    </rPh>
    <rPh sb="5" eb="6">
      <t>フン</t>
    </rPh>
    <phoneticPr fontId="4"/>
  </si>
  <si>
    <t>work_start_minute</t>
    <phoneticPr fontId="4"/>
  </si>
  <si>
    <t>勤務終了＿時</t>
    <rPh sb="0" eb="2">
      <t>キンム</t>
    </rPh>
    <rPh sb="2" eb="4">
      <t>シュウリョウ</t>
    </rPh>
    <rPh sb="5" eb="6">
      <t>ジ</t>
    </rPh>
    <phoneticPr fontId="4"/>
  </si>
  <si>
    <t>work_end_hour</t>
    <phoneticPr fontId="4"/>
  </si>
  <si>
    <t>勤務終了＿分</t>
    <rPh sb="0" eb="2">
      <t>キンム</t>
    </rPh>
    <rPh sb="2" eb="4">
      <t>シュウリョウ</t>
    </rPh>
    <rPh sb="5" eb="6">
      <t>フン</t>
    </rPh>
    <phoneticPr fontId="4"/>
  </si>
  <si>
    <t>work_end_minute</t>
    <phoneticPr fontId="4"/>
  </si>
  <si>
    <t>休日区分</t>
    <rPh sb="0" eb="2">
      <t>キュウジツ</t>
    </rPh>
    <rPh sb="2" eb="4">
      <t>クブン</t>
    </rPh>
    <phoneticPr fontId="4"/>
  </si>
  <si>
    <t>holiday_assort</t>
    <phoneticPr fontId="4"/>
  </si>
  <si>
    <t>休日備考</t>
    <rPh sb="0" eb="2">
      <t>キュウジツ</t>
    </rPh>
    <rPh sb="2" eb="4">
      <t>ビコウ</t>
    </rPh>
    <phoneticPr fontId="4"/>
  </si>
  <si>
    <t>holiday_note</t>
    <phoneticPr fontId="4"/>
  </si>
  <si>
    <t>労働組合有フラグ</t>
    <rPh sb="0" eb="2">
      <t>ロウドウ</t>
    </rPh>
    <rPh sb="2" eb="4">
      <t>クミアイ</t>
    </rPh>
    <rPh sb="4" eb="5">
      <t>アリ</t>
    </rPh>
    <phoneticPr fontId="4"/>
  </si>
  <si>
    <t>labor_union_has_flg</t>
    <phoneticPr fontId="4"/>
  </si>
  <si>
    <t>有給休暇</t>
    <rPh sb="0" eb="4">
      <t>ユウキュウキュウカ</t>
    </rPh>
    <phoneticPr fontId="4"/>
  </si>
  <si>
    <t>paid_holiday</t>
    <phoneticPr fontId="4"/>
  </si>
  <si>
    <t>OB・OG在籍人数</t>
    <rPh sb="5" eb="7">
      <t>ザイセキ</t>
    </rPh>
    <rPh sb="7" eb="9">
      <t>ニンズウ</t>
    </rPh>
    <phoneticPr fontId="4"/>
  </si>
  <si>
    <t>obog_working_count</t>
    <phoneticPr fontId="4"/>
  </si>
  <si>
    <t>女性従業員数</t>
    <rPh sb="0" eb="2">
      <t>ジョセイ</t>
    </rPh>
    <rPh sb="2" eb="5">
      <t>ジュウギョウイン</t>
    </rPh>
    <rPh sb="5" eb="6">
      <t>スウ</t>
    </rPh>
    <phoneticPr fontId="4"/>
  </si>
  <si>
    <t>woman_employee_count</t>
    <phoneticPr fontId="4"/>
  </si>
  <si>
    <t>3年後離職率</t>
    <rPh sb="1" eb="3">
      <t>ネンゴ</t>
    </rPh>
    <rPh sb="3" eb="6">
      <t>リショクリツ</t>
    </rPh>
    <phoneticPr fontId="4"/>
  </si>
  <si>
    <t>retirement_rate_3years</t>
    <phoneticPr fontId="4"/>
  </si>
  <si>
    <t>decimal(6, 3)</t>
    <phoneticPr fontId="4"/>
  </si>
  <si>
    <t>平均勤続年数</t>
    <rPh sb="0" eb="2">
      <t>ヘイキン</t>
    </rPh>
    <rPh sb="2" eb="4">
      <t>キンゾク</t>
    </rPh>
    <rPh sb="4" eb="6">
      <t>ネンスウ</t>
    </rPh>
    <phoneticPr fontId="4"/>
  </si>
  <si>
    <t>avg_work_year</t>
    <phoneticPr fontId="4"/>
  </si>
  <si>
    <t>月平均残業時間</t>
    <rPh sb="0" eb="3">
      <t>ツキヘイキン</t>
    </rPh>
    <rPh sb="3" eb="5">
      <t>ザンギョウ</t>
    </rPh>
    <rPh sb="5" eb="7">
      <t>ジカン</t>
    </rPh>
    <phoneticPr fontId="4"/>
  </si>
  <si>
    <t>avg_overtime_hour</t>
    <phoneticPr fontId="4"/>
  </si>
  <si>
    <t>有休消化日数(年平均)</t>
    <rPh sb="0" eb="2">
      <t>ユウキュウ</t>
    </rPh>
    <rPh sb="2" eb="4">
      <t>ショウカ</t>
    </rPh>
    <rPh sb="4" eb="6">
      <t>ニッスウ</t>
    </rPh>
    <rPh sb="7" eb="10">
      <t>ネンヘイキン</t>
    </rPh>
    <phoneticPr fontId="4"/>
  </si>
  <si>
    <t>avg_use_paid_holiday</t>
    <phoneticPr fontId="4"/>
  </si>
  <si>
    <t>過去3年間_育児休業取得者数(女性)</t>
    <rPh sb="0" eb="2">
      <t>カコ</t>
    </rPh>
    <rPh sb="3" eb="5">
      <t>ネンカン</t>
    </rPh>
    <rPh sb="6" eb="8">
      <t>イクジ</t>
    </rPh>
    <rPh sb="8" eb="10">
      <t>キュウギョウ</t>
    </rPh>
    <rPh sb="10" eb="13">
      <t>シュトクシャ</t>
    </rPh>
    <rPh sb="13" eb="14">
      <t>スウ</t>
    </rPh>
    <rPh sb="15" eb="17">
      <t>ジョセイ</t>
    </rPh>
    <phoneticPr fontId="4"/>
  </si>
  <si>
    <t>woman_childcare_leave_count</t>
    <phoneticPr fontId="4"/>
  </si>
  <si>
    <t>過去3年間_出産者数(女性)</t>
    <rPh sb="6" eb="9">
      <t>シュッサンシャ</t>
    </rPh>
    <rPh sb="9" eb="10">
      <t>スウ</t>
    </rPh>
    <rPh sb="11" eb="13">
      <t>ジョセイ</t>
    </rPh>
    <phoneticPr fontId="4"/>
  </si>
  <si>
    <t>woman_birth_count</t>
    <phoneticPr fontId="4"/>
  </si>
  <si>
    <t>過去3年間_育児休業取得者数(男性)</t>
    <rPh sb="0" eb="2">
      <t>カコ</t>
    </rPh>
    <rPh sb="3" eb="5">
      <t>ネンカン</t>
    </rPh>
    <rPh sb="6" eb="8">
      <t>イクジ</t>
    </rPh>
    <rPh sb="8" eb="10">
      <t>キュウギョウ</t>
    </rPh>
    <rPh sb="10" eb="13">
      <t>シュトクシャ</t>
    </rPh>
    <rPh sb="13" eb="14">
      <t>スウ</t>
    </rPh>
    <rPh sb="15" eb="17">
      <t>ダンセイ</t>
    </rPh>
    <phoneticPr fontId="4"/>
  </si>
  <si>
    <t>man_childcare_leave_count</t>
    <phoneticPr fontId="4"/>
  </si>
  <si>
    <t>過去3年間_出産者数(男性)</t>
    <rPh sb="6" eb="9">
      <t>シュッサンシャ</t>
    </rPh>
    <rPh sb="9" eb="10">
      <t>スウ</t>
    </rPh>
    <rPh sb="11" eb="13">
      <t>ダンセイ</t>
    </rPh>
    <phoneticPr fontId="4"/>
  </si>
  <si>
    <t>man_birth_count</t>
    <phoneticPr fontId="4"/>
  </si>
  <si>
    <t>承認フラグ</t>
    <rPh sb="0" eb="2">
      <t>ショウニン</t>
    </rPh>
    <phoneticPr fontId="6"/>
  </si>
  <si>
    <t>承認日時</t>
    <rPh sb="0" eb="2">
      <t>ショウニン</t>
    </rPh>
    <rPh sb="2" eb="4">
      <t>ニチジ</t>
    </rPh>
    <phoneticPr fontId="6"/>
  </si>
  <si>
    <t>timestamp without time zone</t>
  </si>
  <si>
    <t>承認者ID</t>
    <rPh sb="0" eb="2">
      <t>ショウニン</t>
    </rPh>
    <rPh sb="2" eb="3">
      <t>シャ</t>
    </rPh>
    <phoneticPr fontId="6"/>
  </si>
  <si>
    <t>登録ユーザー区分</t>
    <rPh sb="0" eb="2">
      <t>トウロク</t>
    </rPh>
    <rPh sb="6" eb="8">
      <t>クブン</t>
    </rPh>
    <phoneticPr fontId="6"/>
  </si>
  <si>
    <t>2016/9/8追加
1：職員、2：企業ユーザー</t>
    <rPh sb="7" eb="9">
      <t>ツイカ</t>
    </rPh>
    <rPh sb="11" eb="13">
      <t>ショクイン</t>
    </rPh>
    <rPh sb="16" eb="18">
      <t>キギョウ</t>
    </rPh>
    <phoneticPr fontId="6"/>
  </si>
  <si>
    <t>2016/9/8追加
1：職員、2：企業ユーザー</t>
    <rPh sb="7" eb="9">
      <t>ツイカ</t>
    </rPh>
    <rPh sb="11" eb="13">
      <t>ショクイン</t>
    </rPh>
    <rPh sb="16" eb="18">
      <t>キギョウ</t>
    </rPh>
    <phoneticPr fontId="4"/>
  </si>
  <si>
    <t>更新ユーザー区分</t>
    <rPh sb="0" eb="2">
      <t>コウシン</t>
    </rPh>
    <rPh sb="6" eb="8">
      <t>クブン</t>
    </rPh>
    <phoneticPr fontId="6"/>
  </si>
  <si>
    <t>1</t>
  </si>
  <si>
    <t>削除済フラグ</t>
    <rPh sb="2" eb="3">
      <t>スミ</t>
    </rPh>
    <phoneticPr fontId="6"/>
  </si>
  <si>
    <t>登録日時</t>
    <rPh sb="0" eb="2">
      <t>トウロク</t>
    </rPh>
    <rPh sb="2" eb="4">
      <t>ニチジ</t>
    </rPh>
    <phoneticPr fontId="6"/>
  </si>
  <si>
    <t>登録者ID</t>
    <rPh sb="0" eb="2">
      <t>トウロク</t>
    </rPh>
    <rPh sb="2" eb="3">
      <t>シャ</t>
    </rPh>
    <phoneticPr fontId="6"/>
  </si>
  <si>
    <t>更新日時</t>
    <rPh sb="2" eb="4">
      <t>ニチジ</t>
    </rPh>
    <phoneticPr fontId="6"/>
  </si>
  <si>
    <t>更新者ID</t>
    <rPh sb="0" eb="3">
      <t>コウシンシャ</t>
    </rPh>
    <phoneticPr fontId="6"/>
  </si>
  <si>
    <t>データ移行用カラム</t>
    <rPh sb="3" eb="5">
      <t>イコウ</t>
    </rPh>
    <rPh sb="5" eb="6">
      <t>ヨウ</t>
    </rPh>
    <phoneticPr fontId="6"/>
  </si>
  <si>
    <t>テーブル定義</t>
    <rPh sb="4" eb="6">
      <t>テイギ</t>
    </rPh>
    <phoneticPr fontId="9"/>
  </si>
  <si>
    <t>論理テーブル名</t>
  </si>
  <si>
    <t>求人票テーブル</t>
  </si>
  <si>
    <t>物理テーブル名</t>
  </si>
  <si>
    <t>t_recruit_request_sheet</t>
    <phoneticPr fontId="4"/>
  </si>
  <si>
    <t>バックアップテーブル名</t>
    <rPh sb="10" eb="11">
      <t>メイ</t>
    </rPh>
    <phoneticPr fontId="9"/>
  </si>
  <si>
    <t>null</t>
  </si>
  <si>
    <t>移行用SQL</t>
    <rPh sb="0" eb="2">
      <t>イコウ</t>
    </rPh>
    <rPh sb="2" eb="3">
      <t>ヨウ</t>
    </rPh>
    <phoneticPr fontId="9"/>
  </si>
  <si>
    <t>★変更する</t>
    <rPh sb="1" eb="3">
      <t>ヘンコウ</t>
    </rPh>
    <phoneticPr fontId="9"/>
  </si>
  <si>
    <t>No</t>
  </si>
  <si>
    <t>論理名</t>
  </si>
  <si>
    <t>データ型</t>
  </si>
  <si>
    <t>internship_id</t>
    <phoneticPr fontId="4"/>
  </si>
  <si>
    <t>受付日</t>
    <rPh sb="0" eb="3">
      <t>ウケツケビ</t>
    </rPh>
    <phoneticPr fontId="6"/>
  </si>
  <si>
    <t>reception_date</t>
    <phoneticPr fontId="4"/>
  </si>
  <si>
    <t>date</t>
    <phoneticPr fontId="4"/>
  </si>
  <si>
    <t>年度</t>
    <phoneticPr fontId="4"/>
  </si>
  <si>
    <t>fiscal_year</t>
    <phoneticPr fontId="4"/>
  </si>
  <si>
    <t>company_code</t>
    <phoneticPr fontId="4"/>
  </si>
  <si>
    <t>text</t>
    <phoneticPr fontId="4"/>
  </si>
  <si>
    <t>start_timing</t>
    <phoneticPr fontId="4"/>
  </si>
  <si>
    <t>date</t>
    <phoneticPr fontId="4"/>
  </si>
  <si>
    <t>end_timing</t>
    <phoneticPr fontId="4"/>
  </si>
  <si>
    <t>date</t>
    <phoneticPr fontId="4"/>
  </si>
  <si>
    <t>internship_target_name</t>
    <phoneticPr fontId="4"/>
  </si>
  <si>
    <t>企業コードとは別企業が入る可能性有</t>
    <rPh sb="5" eb="6">
      <t>ベツ</t>
    </rPh>
    <rPh sb="6" eb="8">
      <t>キギョウ</t>
    </rPh>
    <rPh sb="9" eb="10">
      <t>ハイ</t>
    </rPh>
    <rPh sb="11" eb="14">
      <t>カノウセイ</t>
    </rPh>
    <rPh sb="14" eb="15">
      <t>アリ</t>
    </rPh>
    <phoneticPr fontId="4"/>
  </si>
  <si>
    <t>internship_office</t>
    <phoneticPr fontId="4"/>
  </si>
  <si>
    <t>備考</t>
    <phoneticPr fontId="4"/>
  </si>
  <si>
    <t>応募開始日</t>
    <phoneticPr fontId="4"/>
  </si>
  <si>
    <t>応募締切日</t>
    <phoneticPr fontId="4"/>
  </si>
  <si>
    <t>integer</t>
    <phoneticPr fontId="4"/>
  </si>
  <si>
    <t>0</t>
    <phoneticPr fontId="4"/>
  </si>
  <si>
    <t>integer</t>
    <phoneticPr fontId="4"/>
  </si>
  <si>
    <t>0</t>
    <phoneticPr fontId="4"/>
  </si>
  <si>
    <t>2016/9/8追加</t>
    <rPh sb="7" eb="9">
      <t>ツイカ</t>
    </rPh>
    <phoneticPr fontId="6"/>
  </si>
  <si>
    <t>2016/9/8追加</t>
    <rPh sb="7" eb="9">
      <t>ツイカ</t>
    </rPh>
    <phoneticPr fontId="4"/>
  </si>
  <si>
    <t>registered_user_assort</t>
    <phoneticPr fontId="4"/>
  </si>
  <si>
    <t>integer</t>
    <phoneticPr fontId="4"/>
  </si>
  <si>
    <t>コードマスタ</t>
    <phoneticPr fontId="4"/>
  </si>
  <si>
    <t>表示フラグ</t>
    <phoneticPr fontId="4"/>
  </si>
  <si>
    <t>delete_flg</t>
    <phoneticPr fontId="4"/>
  </si>
  <si>
    <t>regist_userid</t>
    <phoneticPr fontId="4"/>
  </si>
  <si>
    <t>update_userid</t>
    <phoneticPr fontId="4"/>
  </si>
  <si>
    <t>インターンシップ情報</t>
    <phoneticPr fontId="9"/>
  </si>
  <si>
    <t>t_internship_info</t>
  </si>
  <si>
    <t>internship_id</t>
  </si>
  <si>
    <t>reception_date</t>
  </si>
  <si>
    <t>fiscal_year</t>
  </si>
  <si>
    <t>campus_assort</t>
  </si>
  <si>
    <t>start_timing</t>
  </si>
  <si>
    <t>end_timing</t>
  </si>
  <si>
    <t>internship_target_name</t>
  </si>
  <si>
    <t>internship_office</t>
  </si>
  <si>
    <t>apply_start_date</t>
  </si>
  <si>
    <t>apply_end_date</t>
  </si>
  <si>
    <t>recognition_flg</t>
  </si>
  <si>
    <t>recommend_kbn</t>
  </si>
  <si>
    <t>seminar_id</t>
  </si>
  <si>
    <t>serial</t>
  </si>
  <si>
    <t>年度</t>
  </si>
  <si>
    <t>fisacal_year</t>
  </si>
  <si>
    <t>開催日程種別</t>
    <rPh sb="0" eb="2">
      <t>カイサイ</t>
    </rPh>
    <rPh sb="2" eb="4">
      <t>ニッテイ</t>
    </rPh>
    <rPh sb="4" eb="6">
      <t>シュベツ</t>
    </rPh>
    <phoneticPr fontId="6"/>
  </si>
  <si>
    <t>seminar_date_assort</t>
  </si>
  <si>
    <t>開催日(開始)</t>
    <rPh sb="0" eb="2">
      <t>カイサイ</t>
    </rPh>
    <rPh sb="2" eb="3">
      <t>ヒ</t>
    </rPh>
    <rPh sb="4" eb="6">
      <t>カイシ</t>
    </rPh>
    <phoneticPr fontId="6"/>
  </si>
  <si>
    <t>seminar_start_date</t>
  </si>
  <si>
    <t>開催日(終了)</t>
    <rPh sb="0" eb="2">
      <t>カイサイ</t>
    </rPh>
    <rPh sb="2" eb="3">
      <t>ヒ</t>
    </rPh>
    <rPh sb="4" eb="6">
      <t>シュウリョウ</t>
    </rPh>
    <phoneticPr fontId="6"/>
  </si>
  <si>
    <t>seminar_end_date</t>
  </si>
  <si>
    <t>recognition_datetime</t>
  </si>
  <si>
    <t>recognition_userid</t>
  </si>
  <si>
    <t>registered_user_assort</t>
  </si>
  <si>
    <t>updated_user_assort</t>
  </si>
  <si>
    <t>t_seminar_info</t>
  </si>
  <si>
    <t>外部セミナー情報</t>
    <rPh sb="0" eb="2">
      <t>ガイブ</t>
    </rPh>
    <rPh sb="6" eb="8">
      <t>ジョウホウ</t>
    </rPh>
    <phoneticPr fontId="9"/>
  </si>
  <si>
    <t>企業マスタ</t>
    <rPh sb="0" eb="2">
      <t>キギョウ</t>
    </rPh>
    <phoneticPr fontId="9"/>
  </si>
  <si>
    <t>m_company</t>
    <phoneticPr fontId="9"/>
  </si>
  <si>
    <t>PITA共通企業マスタとの連携キー</t>
    <rPh sb="3" eb="4">
      <t>キョウツウ</t>
    </rPh>
    <rPh sb="5" eb="7">
      <t>キギョウ</t>
    </rPh>
    <rPh sb="12" eb="14">
      <t>レンケイ</t>
    </rPh>
    <phoneticPr fontId="6"/>
  </si>
  <si>
    <t>企業マイナンバー</t>
    <rPh sb="0" eb="1">
      <t>キギョウ</t>
    </rPh>
    <phoneticPr fontId="6"/>
  </si>
  <si>
    <t>コードマスタ：法人形態</t>
    <rPh sb="6" eb="8">
      <t>ホウジン</t>
    </rPh>
    <rPh sb="8" eb="10">
      <t>ケイタイ</t>
    </rPh>
    <phoneticPr fontId="6"/>
  </si>
  <si>
    <t>企業名</t>
    <rPh sb="0" eb="2">
      <t>キギョウ</t>
    </rPh>
    <rPh sb="2" eb="3">
      <t>メイ</t>
    </rPh>
    <phoneticPr fontId="6"/>
  </si>
  <si>
    <t>企業カナ名</t>
    <rPh sb="0" eb="2">
      <t>キギョウ</t>
    </rPh>
    <rPh sb="4" eb="5">
      <t>メイ</t>
    </rPh>
    <phoneticPr fontId="7"/>
  </si>
  <si>
    <t>主業種コード</t>
    <rPh sb="0" eb="1">
      <t>シュ</t>
    </rPh>
    <rPh sb="1" eb="3">
      <t>ギョウシュ</t>
    </rPh>
    <phoneticPr fontId="5"/>
  </si>
  <si>
    <t>主業種の業種コードを設定</t>
    <rPh sb="3" eb="5">
      <t>ギョウシュ</t>
    </rPh>
    <rPh sb="9" eb="11">
      <t>セッテイ</t>
    </rPh>
    <phoneticPr fontId="6"/>
  </si>
  <si>
    <t>国内外種別</t>
    <rPh sb="0" eb="3">
      <t>コクナイガイ</t>
    </rPh>
    <rPh sb="3" eb="5">
      <t>シュベツ</t>
    </rPh>
    <phoneticPr fontId="6"/>
  </si>
  <si>
    <t>コードマスタ：国内外</t>
    <rPh sb="7" eb="10">
      <t>コクナイガイ</t>
    </rPh>
    <phoneticPr fontId="6"/>
  </si>
  <si>
    <t>本社郵便番号</t>
    <rPh sb="0" eb="2">
      <t>ホンシャ</t>
    </rPh>
    <rPh sb="2" eb="4">
      <t>ユウビン</t>
    </rPh>
    <rPh sb="4" eb="6">
      <t>バンゴウ</t>
    </rPh>
    <phoneticPr fontId="7"/>
  </si>
  <si>
    <t>本社所在都道府県</t>
    <rPh sb="0" eb="2">
      <t>ホンシャ</t>
    </rPh>
    <rPh sb="2" eb="4">
      <t>ショザイ</t>
    </rPh>
    <rPh sb="4" eb="8">
      <t>トドウフケン</t>
    </rPh>
    <phoneticPr fontId="7"/>
  </si>
  <si>
    <t>本社所在都道府県コード</t>
    <rPh sb="4" eb="8">
      <t>トドウフケン</t>
    </rPh>
    <phoneticPr fontId="7"/>
  </si>
  <si>
    <t>m_area</t>
  </si>
  <si>
    <t>本社所在市区町村コード</t>
    <rPh sb="4" eb="6">
      <t>シク</t>
    </rPh>
    <rPh sb="6" eb="8">
      <t>チョウソン</t>
    </rPh>
    <phoneticPr fontId="7"/>
  </si>
  <si>
    <t>本社電話番号</t>
    <rPh sb="0" eb="2">
      <t>ホンシャ</t>
    </rPh>
    <rPh sb="2" eb="4">
      <t>デンワ</t>
    </rPh>
    <rPh sb="4" eb="6">
      <t>バンゴウ</t>
    </rPh>
    <phoneticPr fontId="7"/>
  </si>
  <si>
    <t>資本金</t>
    <rPh sb="0" eb="2">
      <t>シホン</t>
    </rPh>
    <rPh sb="2" eb="3">
      <t>キン</t>
    </rPh>
    <phoneticPr fontId="7"/>
  </si>
  <si>
    <t>decimal(15)</t>
  </si>
  <si>
    <t>設立年</t>
    <rPh sb="0" eb="2">
      <t>セツリツ</t>
    </rPh>
    <rPh sb="2" eb="3">
      <t>ネン</t>
    </rPh>
    <phoneticPr fontId="7"/>
  </si>
  <si>
    <t>設立月</t>
    <rPh sb="0" eb="2">
      <t>セツリツ</t>
    </rPh>
    <rPh sb="2" eb="3">
      <t>ツキ</t>
    </rPh>
    <phoneticPr fontId="7"/>
  </si>
  <si>
    <t>年商</t>
    <rPh sb="0" eb="2">
      <t>ネンショウ</t>
    </rPh>
    <phoneticPr fontId="7"/>
  </si>
  <si>
    <t>従業員数</t>
    <rPh sb="0" eb="3">
      <t>ジュウギョウイン</t>
    </rPh>
    <rPh sb="3" eb="4">
      <t>スウ</t>
    </rPh>
    <phoneticPr fontId="7"/>
  </si>
  <si>
    <t>所属株式市場コード</t>
    <rPh sb="0" eb="2">
      <t>ショゾク</t>
    </rPh>
    <rPh sb="2" eb="4">
      <t>カブシキ</t>
    </rPh>
    <rPh sb="4" eb="6">
      <t>シジョウ</t>
    </rPh>
    <phoneticPr fontId="6"/>
  </si>
  <si>
    <t>上場区分マスタ</t>
  </si>
  <si>
    <t>代表者名</t>
    <rPh sb="0" eb="3">
      <t>ダイヒョウシャ</t>
    </rPh>
    <rPh sb="3" eb="4">
      <t>メイ</t>
    </rPh>
    <phoneticPr fontId="7"/>
  </si>
  <si>
    <t>企業補足情報（元支店名）</t>
    <rPh sb="7" eb="8">
      <t>モト</t>
    </rPh>
    <rPh sb="8" eb="11">
      <t>シテンメイ</t>
    </rPh>
    <phoneticPr fontId="7"/>
  </si>
  <si>
    <t>学生非公開理由</t>
    <rPh sb="2" eb="3">
      <t>ヒ</t>
    </rPh>
    <rPh sb="5" eb="7">
      <t>リユウ</t>
    </rPh>
    <phoneticPr fontId="10"/>
  </si>
  <si>
    <t>企業閉鎖フラグ</t>
    <rPh sb="0" eb="2">
      <t>キギョウ</t>
    </rPh>
    <rPh sb="2" eb="4">
      <t>ヘイサ</t>
    </rPh>
    <phoneticPr fontId="1"/>
  </si>
  <si>
    <t>採用担当郵便番号</t>
    <rPh sb="4" eb="6">
      <t>ユウビン</t>
    </rPh>
    <rPh sb="6" eb="8">
      <t>バンゴウ</t>
    </rPh>
    <phoneticPr fontId="7"/>
  </si>
  <si>
    <t>初回メンテナンス済フラグ</t>
    <rPh sb="0" eb="2">
      <t>ショカイ</t>
    </rPh>
    <rPh sb="8" eb="9">
      <t>スミ</t>
    </rPh>
    <phoneticPr fontId="6"/>
  </si>
  <si>
    <t>2016/8/30 追加
企業ユーザーログイン時にこのフラグがOFFならメンテナンスを行うように画面遷移する。</t>
    <rPh sb="9" eb="11">
      <t>ツイカ</t>
    </rPh>
    <rPh sb="13" eb="15">
      <t>キギョウ</t>
    </rPh>
    <rPh sb="23" eb="24">
      <t>ジ</t>
    </rPh>
    <rPh sb="43" eb="44">
      <t>オコナ</t>
    </rPh>
    <rPh sb="48" eb="50">
      <t>ガメン</t>
    </rPh>
    <rPh sb="50" eb="52">
      <t>センイ</t>
    </rPh>
    <phoneticPr fontId="6"/>
  </si>
  <si>
    <t>insert into t_seminar_info(seminar_id,company_code,fisacal_year,reception_date,seminar_date_assort,seminar_start_date,seminar_end_date,seminar_url,public_start_date,public_end_date,seminar_note,public_student_flg,recognition_flg,recognition_datetime,recognition_userid,registered_user_assort,updated_user_assort,sort_order,display_flg,delete_flg,regist_datetime,regist_userid,update_datetime,update_userid,option1,option2,option3,option4,option5,data_migration)select seminar_id,company_code,fisacal_year,reception_date,seminar_date_assort,seminar_start_date,seminar_end_date,seminar_url,public_start_date,public_end_date,seminar_note,public_student_flg,1,null,null,1,1,sort_order,display_flg,delete_flg,regist_datetime,regist_userid,update_datetime,update_userid,option1,option2,option3,option4,option5,data_migration from t_seminar_info_bk;</t>
    <phoneticPr fontId="9"/>
  </si>
  <si>
    <t>1</t>
    <phoneticPr fontId="9"/>
  </si>
  <si>
    <t>自由応募フラグ</t>
    <rPh sb="0" eb="4">
      <t>ジユウオウボ</t>
    </rPh>
    <phoneticPr fontId="4"/>
  </si>
  <si>
    <t>free_apply_flg</t>
    <phoneticPr fontId="4"/>
  </si>
  <si>
    <t>integer</t>
    <phoneticPr fontId="4"/>
  </si>
  <si>
    <t>推薦フラグ</t>
    <rPh sb="0" eb="2">
      <t>スイセン</t>
    </rPh>
    <phoneticPr fontId="4"/>
  </si>
  <si>
    <t>recommendation_apply_flg</t>
    <phoneticPr fontId="4"/>
  </si>
  <si>
    <t>推薦枠有りフラグ</t>
    <rPh sb="0" eb="2">
      <t>スイセン</t>
    </rPh>
    <rPh sb="2" eb="3">
      <t>ワク</t>
    </rPh>
    <rPh sb="3" eb="4">
      <t>ア</t>
    </rPh>
    <phoneticPr fontId="4"/>
  </si>
  <si>
    <t>recommendation_count_flg</t>
    <phoneticPr fontId="4"/>
  </si>
  <si>
    <t>労働関連法遵守フラグ</t>
    <rPh sb="0" eb="2">
      <t>ロウドウ</t>
    </rPh>
    <rPh sb="2" eb="5">
      <t>カンレンホウ</t>
    </rPh>
    <rPh sb="5" eb="7">
      <t>ジュンシュ</t>
    </rPh>
    <phoneticPr fontId="4"/>
  </si>
  <si>
    <t>labor_laws_apply_flg</t>
    <phoneticPr fontId="4"/>
  </si>
  <si>
    <t>insert into t_internship_info(internship_id,reception_date,fiscal_year,campus_assort,company_code,start_timing,end_timing,internship_target_name,internship_office,note,apply_start_date,apply_end_date,public_start_date,public_end_date,public_student_flg,closeed_reason,recognition_flg,recognition_datetime,recognition_userid,registered_user_assort,updated_user_assort,recommend_kbn,display_flg,delete_flg,regist_datetime,regist_userid,update_datetime,update_userid,option1,option2,option3,option4,option5,data_migration)select internship_id,reception_date,fiscal_year,campus_assort,company_code,start_timing,end_timing,internship_target_name,internship_office,note,apply_start_date,apply_end_date,public_start_date,public_end_date,public_student_flg,closeed_reason,1,null,null,1,1,recommend_kbn,display_flg,delete_flg,regist_datetime,regist_userid,update_datetime,update_userid,option1,option2,option3,option4,option5,data_migration from t_internship_info_bk;</t>
    <phoneticPr fontId="9"/>
  </si>
  <si>
    <t>request_id</t>
  </si>
  <si>
    <t>request_date</t>
  </si>
  <si>
    <t>name</t>
  </si>
  <si>
    <t>kana_name</t>
  </si>
  <si>
    <t>mail_address</t>
  </si>
  <si>
    <t>tel_no</t>
  </si>
  <si>
    <t>department_name</t>
  </si>
  <si>
    <t>job_offer_use_flg</t>
  </si>
  <si>
    <t>internship_use_flg</t>
  </si>
  <si>
    <t>company_session_use_flg</t>
  </si>
  <si>
    <t>etc_objective</t>
  </si>
  <si>
    <t>住所(都道府県)</t>
  </si>
  <si>
    <t>自動採番</t>
    <rPh sb="0" eb="1">
      <t>ジドウ</t>
    </rPh>
    <rPh sb="1" eb="2">
      <t>サイ</t>
    </rPh>
    <rPh sb="2" eb="3">
      <t>バン</t>
    </rPh>
    <phoneticPr fontId="8"/>
  </si>
  <si>
    <t>0：未承認、1：承認、2：却下</t>
    <rPh sb="1" eb="3">
      <t>ミショウニン</t>
    </rPh>
    <rPh sb="7" eb="9">
      <t>ショウニン</t>
    </rPh>
    <rPh sb="12" eb="14">
      <t>キャッカ</t>
    </rPh>
    <phoneticPr fontId="8"/>
  </si>
  <si>
    <t>company_address</t>
    <phoneticPr fontId="9"/>
  </si>
  <si>
    <t>null</t>
    <phoneticPr fontId="9"/>
  </si>
  <si>
    <t>t_account_request</t>
    <phoneticPr fontId="9"/>
  </si>
  <si>
    <t>アカウント申請</t>
    <phoneticPr fontId="9"/>
  </si>
  <si>
    <t>申請ID</t>
    <rPh sb="0" eb="2">
      <t>シンセイ</t>
    </rPh>
    <phoneticPr fontId="4"/>
  </si>
  <si>
    <t>serial</t>
    <phoneticPr fontId="4"/>
  </si>
  <si>
    <t>request_date</t>
    <phoneticPr fontId="4"/>
  </si>
  <si>
    <t>date</t>
    <phoneticPr fontId="4"/>
  </si>
  <si>
    <t>氏名</t>
    <rPh sb="0" eb="2">
      <t>シメイ</t>
    </rPh>
    <phoneticPr fontId="4"/>
  </si>
  <si>
    <t>氏名カナ</t>
    <rPh sb="0" eb="2">
      <t>シメイ</t>
    </rPh>
    <phoneticPr fontId="4"/>
  </si>
  <si>
    <t>text</t>
    <phoneticPr fontId="4"/>
  </si>
  <si>
    <t>メールアドレス</t>
    <phoneticPr fontId="4"/>
  </si>
  <si>
    <t>text</t>
    <phoneticPr fontId="4"/>
  </si>
  <si>
    <t>電話番号</t>
    <rPh sb="0" eb="2">
      <t>デンワ</t>
    </rPh>
    <rPh sb="2" eb="4">
      <t>バンゴウ</t>
    </rPh>
    <phoneticPr fontId="4"/>
  </si>
  <si>
    <t>tel_no</t>
    <phoneticPr fontId="4"/>
  </si>
  <si>
    <t>所属部署名称</t>
    <rPh sb="0" eb="2">
      <t>ショゾク</t>
    </rPh>
    <rPh sb="2" eb="4">
      <t>ブショ</t>
    </rPh>
    <rPh sb="4" eb="6">
      <t>メイショウ</t>
    </rPh>
    <phoneticPr fontId="4"/>
  </si>
  <si>
    <t>department_name</t>
    <phoneticPr fontId="4"/>
  </si>
  <si>
    <t>求人情報登録利用フラグ</t>
    <rPh sb="0" eb="2">
      <t>キュウジン</t>
    </rPh>
    <rPh sb="2" eb="4">
      <t>ジョウホウ</t>
    </rPh>
    <rPh sb="4" eb="6">
      <t>トウロク</t>
    </rPh>
    <rPh sb="6" eb="8">
      <t>リヨウ</t>
    </rPh>
    <phoneticPr fontId="4"/>
  </si>
  <si>
    <t>インターンシップ情報登録利用フラグ</t>
    <rPh sb="8" eb="10">
      <t>ジョウホウ</t>
    </rPh>
    <rPh sb="10" eb="12">
      <t>トウロク</t>
    </rPh>
    <phoneticPr fontId="4"/>
  </si>
  <si>
    <t>internship_use_flg</t>
    <phoneticPr fontId="4"/>
  </si>
  <si>
    <t>会社説明会情報登録利用フラグ</t>
    <rPh sb="0" eb="2">
      <t>カイシャ</t>
    </rPh>
    <rPh sb="2" eb="5">
      <t>セツメイカイ</t>
    </rPh>
    <rPh sb="5" eb="7">
      <t>ジョウホウ</t>
    </rPh>
    <rPh sb="7" eb="9">
      <t>トウロク</t>
    </rPh>
    <phoneticPr fontId="4"/>
  </si>
  <si>
    <t>company_session_use_flg</t>
    <phoneticPr fontId="4"/>
  </si>
  <si>
    <t>integer</t>
    <phoneticPr fontId="4"/>
  </si>
  <si>
    <t>その他目的</t>
    <rPh sb="2" eb="3">
      <t>タ</t>
    </rPh>
    <rPh sb="3" eb="5">
      <t>モクテキ</t>
    </rPh>
    <phoneticPr fontId="4"/>
  </si>
  <si>
    <t>etc_objective</t>
    <phoneticPr fontId="4"/>
  </si>
  <si>
    <t>company_my_number</t>
    <phoneticPr fontId="4"/>
  </si>
  <si>
    <t>商号または名称</t>
    <rPh sb="0" eb="2">
      <t>ショウゴウ</t>
    </rPh>
    <rPh sb="5" eb="7">
      <t>メイショウ</t>
    </rPh>
    <phoneticPr fontId="4"/>
  </si>
  <si>
    <t>住所(市区町村)</t>
    <rPh sb="0" eb="2">
      <t>ジュウショ</t>
    </rPh>
    <rPh sb="3" eb="5">
      <t>シク</t>
    </rPh>
    <rPh sb="5" eb="7">
      <t>チョウソン</t>
    </rPh>
    <phoneticPr fontId="4"/>
  </si>
  <si>
    <t>住所(番地)</t>
    <rPh sb="0" eb="2">
      <t>ジュウショ</t>
    </rPh>
    <rPh sb="3" eb="5">
      <t>バンチ</t>
    </rPh>
    <phoneticPr fontId="4"/>
  </si>
  <si>
    <t>業種コード</t>
    <rPh sb="0" eb="2">
      <t>ギョウシュ</t>
    </rPh>
    <phoneticPr fontId="4"/>
  </si>
  <si>
    <t>industry_code</t>
    <phoneticPr fontId="4"/>
  </si>
  <si>
    <t>支店・事業所名</t>
    <rPh sb="0" eb="2">
      <t>シテン</t>
    </rPh>
    <rPh sb="3" eb="6">
      <t>ジギョウショ</t>
    </rPh>
    <rPh sb="6" eb="7">
      <t>メイ</t>
    </rPh>
    <phoneticPr fontId="4"/>
  </si>
  <si>
    <t>office_name</t>
    <phoneticPr fontId="4"/>
  </si>
  <si>
    <t>承認状況区分</t>
    <rPh sb="0" eb="2">
      <t>ショウニン</t>
    </rPh>
    <rPh sb="2" eb="4">
      <t>ジョウキョウ</t>
    </rPh>
    <rPh sb="4" eb="6">
      <t>クブン</t>
    </rPh>
    <phoneticPr fontId="4"/>
  </si>
  <si>
    <t>recognition_kbn</t>
    <phoneticPr fontId="4"/>
  </si>
  <si>
    <t>recognition_datetime</t>
    <phoneticPr fontId="4"/>
  </si>
  <si>
    <t>update_datetime</t>
    <phoneticPr fontId="4"/>
  </si>
  <si>
    <t>update_userid</t>
    <phoneticPr fontId="4"/>
  </si>
  <si>
    <t>data_migration</t>
    <phoneticPr fontId="4"/>
  </si>
  <si>
    <t>request_id</t>
    <phoneticPr fontId="4"/>
  </si>
  <si>
    <t>name</t>
    <phoneticPr fontId="4"/>
  </si>
  <si>
    <t>kana_name</t>
    <phoneticPr fontId="4"/>
  </si>
  <si>
    <t>mail_address</t>
    <phoneticPr fontId="4"/>
  </si>
  <si>
    <t>job_offer_use_flg</t>
    <phoneticPr fontId="4"/>
  </si>
  <si>
    <t>integer</t>
    <phoneticPr fontId="4"/>
  </si>
  <si>
    <t>company_name</t>
    <phoneticPr fontId="4"/>
  </si>
  <si>
    <t>郵便番号</t>
    <rPh sb="0" eb="2">
      <t>ユウビン</t>
    </rPh>
    <rPh sb="2" eb="4">
      <t>バンゴウ</t>
    </rPh>
    <phoneticPr fontId="5"/>
  </si>
  <si>
    <t>post_code</t>
    <phoneticPr fontId="4"/>
  </si>
  <si>
    <t>text</t>
    <phoneticPr fontId="4"/>
  </si>
  <si>
    <t>住所(都道府県コード)</t>
    <phoneticPr fontId="4"/>
  </si>
  <si>
    <t>prefecture_code</t>
    <phoneticPr fontId="4"/>
  </si>
  <si>
    <t>prefecture_name</t>
    <phoneticPr fontId="4"/>
  </si>
  <si>
    <t>city_name</t>
    <phoneticPr fontId="4"/>
  </si>
  <si>
    <t>street_number</t>
    <phoneticPr fontId="4"/>
  </si>
  <si>
    <t>industry_code</t>
    <phoneticPr fontId="4"/>
  </si>
  <si>
    <t>recognition_kbn</t>
    <phoneticPr fontId="4"/>
  </si>
  <si>
    <t>recognition_datetime</t>
    <phoneticPr fontId="4"/>
  </si>
  <si>
    <t>recognition_userid</t>
    <phoneticPr fontId="4"/>
  </si>
  <si>
    <t>表示フラグ</t>
    <phoneticPr fontId="4"/>
  </si>
  <si>
    <t>delete_flg</t>
    <phoneticPr fontId="4"/>
  </si>
  <si>
    <t>regist_datetime</t>
    <phoneticPr fontId="4"/>
  </si>
  <si>
    <t>regist_userid</t>
    <phoneticPr fontId="4"/>
  </si>
  <si>
    <t>insert into t_account_request(request_id,request_date,name,kana_name,mail_address,tel_no,department_name,job_offer_use_flg,internship_use_flg,company_session_use_flg,etc_objective,company_my_number,company_name,post_code,prefecture_code,prefecture_name,city_name,street_number,industry_code,office_name,recognition_kbn,recognition_datetime,recognition_userid,display_flg,delete_flg,regist_datetime,regist_userid,update_datetime,update_userid,option1,option2,option3,option4,option5,data_migration)select request_id,request_date,name,kana_name,mail_address,tel_no,department_name,job_offer_use_flg,internship_use_flg,company_session_use_flg,etc_objective,company_my_number,company_name,null,null,company_address,null,null,industry_code,office_name,recognition_kbn,recognition_datetime,recognition_userid,display_flg,delete_flg,regist_datetime,regist_userid,update_datetime,update_userid,option1,option2,option3,option4,option5,data_migration from t_account_request_bk;</t>
    <phoneticPr fontId="9"/>
  </si>
  <si>
    <t>insert into m_company(company_code,company_my_number,corporate_form_id,company_name,company_kana_name,search_company_name,main_industry_class_code,destination_area_assort,postal_code,prefecture,city,city_block,prefecture_code,city_code,tel_number,company_capital,company_establishment_year,company_establishment_month,sales,employee_number,stock_market_assort,representative_name,company_hp_url,supplementary_info,public_student_flg,closeed_reason,company_closing_flg,registration_company_closing_date,registration_company_closing_reason,successor_my_number,change_reason_detail,recruiter_name,recruiter_position_name,recruiter_post_name,recruiter_address_postcode,recruiter_prefecture,recruiter_city,recruiter_city_block,recruiter_prefecture_code,recruiter_tel_number,recruiter_fax_number,recruiter_section_mail_address,recruiter__mail_address,note,first_maintenance_flg,display_flg,delete_flg,regist_datetime,regist_userid,update_datetime,update_userid,option1,option2,option3,option4,option5,data_migration)select company_code,company_my_number,corporate_form_id,company_name,company_kana_name,search_company_name,main_industry_class_code,destination_area_assort,postal_code,prefecture,city,city_block,prefecture_code,city_code,tel_number,company_capital,company_establishment_year,company_establishment_month,sales,employee_number,stock_market_assort,representative_name,company_hp_url,supplementary_info,public_student_flg,closeed_reason,company_closing_flg,registration_company_closing_date,registration_company_closing_reason,successor_my_number,change_reason_detail,recruiter_name,recruiter_position_name,recruiter_post_name,recruiter_address_postcode,recruiter_prefecture,recruiter_city,recruiter_city_block,recruiter_prefecture_code,recruiter_tel_number,recruiter_fax_number,recruiter_section_mail_address,recruiter__mail_address,note,1,display_flg,delete_flg,regist_datetime,regist_userid,update_datetime,update_userid,option1,option2,option3,option4,option5,data_migration from m_company_bk;</t>
    <phoneticPr fontId="9"/>
  </si>
  <si>
    <t>勤務時間備考</t>
    <rPh sb="0" eb="2">
      <t>キンム</t>
    </rPh>
    <rPh sb="2" eb="4">
      <t>ジカン</t>
    </rPh>
    <rPh sb="4" eb="6">
      <t>ビコウ</t>
    </rPh>
    <phoneticPr fontId="4"/>
  </si>
  <si>
    <t>work_time_note</t>
    <phoneticPr fontId="4"/>
  </si>
  <si>
    <t>text</t>
    <phoneticPr fontId="4"/>
  </si>
  <si>
    <t>insert into t_recruit_request_sheet(rrs_id,school_company_code,recruit_year,march_graduation_flg,september_graduation_flg,management_assort,recomend_info,recomend_reason,reception_date,apply_start_date,apply_end_date,public_start_date,public_end_date,public_student_flg,closeed_reason,school_visit_flg,free_apply_flg,recommendation_apply_flg,recommendation_count_flg,recommendation_count,rrr_age_limit,facilities_name,business_outline,job_class_note,note,adopt_plan_count,previous_adopt_man_count,previous_adopt_woman_count,contact_information,entry_method_etc,salary_background1,salary_job1,salary_base1,salary_allowance1,salary_note1,salary_background2,salary_job2,salary_base2,salary_allowance2,salary_note2,salary_background3,salary_job3,salary_base3,salary_allowance3,salary_note3,bonus,salary_raise,commuting_allowance,work_start_hour,work_start_minute,work_end_hour,work_end_minute,work_time_note,holiday_assort,holiday_note,labor_union_has_flg,paid_holiday,obog_working_count,woman_employee_count,retirement_rate_3years,avg_work_year,avg_overtime_hour,avg_use_paid_holiday,woman_childcare_leave_count,woman_birth_count,man_childcare_leave_count,man_birth_count,labor_laws_apply_flg,recognition_flg,recognition_datetime,recognition_userid,registered_user_assort,updated_user_assort,display_flg,delete_flg,regist_datetime,regist_userid,update_datetime,update_userid,option1,option2,option3,option4,option5,data_migration)select rrs_id,school_company_code,recruit_year,march_graduation_flg,september_graduation_flg,management_assort,recomend_info,recomend_reason,reception_date,apply_start_date,apply_end_date,public_start_date,public_end_date,public_student_flg,closeed_reason,school_visit_flg,0,0,0,recommendation_count,rrr_age_limit,facilities_name,business_outline,null,note,null,null,null,null,null,null,null,null,null,null,null,null,null,null,null,null,null,null,null,null,null,null,null,null,null,null,null,null,null,null,null,null,null,null,null,null,null,null,null,null,null,null,0,recognition_flg,recognition_datetime,recognition_userid,1,1,display_flg,delete_flg,regist_datetime,regist_userid,update_datetime,update_userid,option1,option2,option3,option4,option5,data_migration from t_recruit_request_sheet_bk;</t>
    <phoneticPr fontId="9"/>
  </si>
  <si>
    <t>insert into t_recruit_request_sheet(rrs_id,school_company_code,recruit_year,march_graduation_flg,september_graduation_flg,management_assort,recomend_info,recomend_reason,reception_date,apply_start_date,apply_end_date,public_start_date,public_end_date,public_student_flg,closeed_reason,school_visit_flg,free_apply_flg,recommendation_apply_flg,recommendation_count_flg,recommendation_count,rrr_age_limit,facilities_name,business_outline,job_class_note,note,adopt_plan_count,previous_adopt_man_count,previous_adopt_woman_count,contact_information,entry_method_etc,salary_background1,salary_job1,salary_base1,salary_allowance1,salary_note1,salary_background2,salary_job2,salary_base2,salary_allowance2,salary_note2,salary_background3,salary_job3,salary_base3,salary_allowance3,salary_note3,bonus,salary_raise,commuting_allowance,work_start_hour,work_start_minute,work_end_hour,work_end_minute,work_time_note,holiday_assort,holiday_note,labor_union_has_flg,paid_holiday,obog_working_count,woman_employee_count,retirement_rate_3years,avg_work_year,avg_overtime_hour,avg_use_paid_holiday,woman_childcare_leave_count,woman_birth_count,man_childcare_leave_count,man_birth_count,labor_laws_apply_flg,recognition_flg,recognition_datetime,recognition_userid,registered_user_assort,updated_user_assort,display_flg,delete_flg,regist_datetime,regist_userid,update_datetime,update_userid,option1,option2,option3,option4,option5,data_migration)select rrs_id,school_company_code,recruit_year,march_graduation_flg,september_graduation_flg,management_assort,recomend_info,recomend_reason,reception_date,apply_start_date,apply_end_date,public_start_date,public_end_date,public_student_flg,closeed_reason,school_visit_flg,free_apply_flg,recommendation_apply_flg,recommendation_count_flg,recommendation_count,rrr_age_limit,facilities_name,business_outline,job_class_note,note,adopt_plan_count,previous_adopt_man_count,previous_adopt_woman_count,contact_information,entry_method_etc,salary_background1,salary_job1,salary_base1,salary_allowance1,salary_note1,salary_background2,salary_job2,salary_base2,salary_allowance2,salary_note2,salary_background3,salary_job3,salary_base3,salary_allowance3,salary_note3,bonus,salary_raise,commuting_allowance,work_start_hour,work_start_minute,work_end_hour,work_end_minute,null,holiday_assort,holiday_note,labor_union_has_flg,paid_holiday,obog_working_count,woman_employee_count,retirement_rate_3years,avg_work_year,avg_overtime_hour,avg_use_paid_holiday,woman_childcare_leave_count,woman_birth_count,man_childcare_leave_count,man_birth_count,labor_laws_apply_flg,recognition_flg,recognition_datetime,recognition_userid,registered_user_assort,updated_user_assort,display_flg,delete_flg,regist_datetime,regist_userid,update_datetime,update_userid,option1,option2,option3,option4,option5,data_migration from t_recruit_request_sheet_bk;</t>
    <phoneticPr fontId="9"/>
  </si>
  <si>
    <t>time without time zone</t>
  </si>
  <si>
    <t>お知らせ管理ID</t>
    <rPh sb="1" eb="2">
      <t>シ</t>
    </rPh>
    <rPh sb="4" eb="6">
      <t>カンリ</t>
    </rPh>
    <phoneticPr fontId="4"/>
  </si>
  <si>
    <t>お知らせ種別</t>
    <rPh sb="1" eb="2">
      <t>シ</t>
    </rPh>
    <rPh sb="4" eb="6">
      <t>シュベツ</t>
    </rPh>
    <phoneticPr fontId="4"/>
  </si>
  <si>
    <t>コードマスタ：お知らせ種別</t>
    <rPh sb="7" eb="8">
      <t>シ</t>
    </rPh>
    <rPh sb="10" eb="12">
      <t>シュベツ</t>
    </rPh>
    <phoneticPr fontId="4"/>
  </si>
  <si>
    <t>内容</t>
    <rPh sb="0" eb="2">
      <t>ナイヨウ</t>
    </rPh>
    <phoneticPr fontId="4"/>
  </si>
  <si>
    <t>開催日</t>
    <rPh sb="0" eb="3">
      <t>カイサイビ</t>
    </rPh>
    <phoneticPr fontId="4"/>
  </si>
  <si>
    <t>2017/8/16　追加</t>
    <rPh sb="9" eb="11">
      <t>ツイカ</t>
    </rPh>
    <phoneticPr fontId="4"/>
  </si>
  <si>
    <t>開催開始時刻</t>
    <rPh sb="0" eb="2">
      <t>カイサイ</t>
    </rPh>
    <rPh sb="2" eb="4">
      <t>カイシ</t>
    </rPh>
    <rPh sb="4" eb="6">
      <t>ジコク</t>
    </rPh>
    <phoneticPr fontId="4"/>
  </si>
  <si>
    <t>開催終了時刻</t>
    <rPh sb="0" eb="2">
      <t>カイサイ</t>
    </rPh>
    <rPh sb="2" eb="4">
      <t>シュウリョウ</t>
    </rPh>
    <rPh sb="4" eb="6">
      <t>ジコク</t>
    </rPh>
    <phoneticPr fontId="4"/>
  </si>
  <si>
    <t>開催場所</t>
    <rPh sb="0" eb="2">
      <t>カイサイ</t>
    </rPh>
    <rPh sb="2" eb="4">
      <t>バショ</t>
    </rPh>
    <phoneticPr fontId="4"/>
  </si>
  <si>
    <t>表示期間（開始日）</t>
    <rPh sb="0" eb="2">
      <t>ヒョウジ</t>
    </rPh>
    <rPh sb="2" eb="4">
      <t>キカン</t>
    </rPh>
    <rPh sb="5" eb="8">
      <t>カイシビ</t>
    </rPh>
    <phoneticPr fontId="4"/>
  </si>
  <si>
    <t>表示期間（終了日）</t>
    <rPh sb="0" eb="2">
      <t>ヒョウジ</t>
    </rPh>
    <rPh sb="2" eb="4">
      <t>キカン</t>
    </rPh>
    <rPh sb="5" eb="8">
      <t>シュウリョウビ</t>
    </rPh>
    <phoneticPr fontId="4"/>
  </si>
  <si>
    <t>ブートストラップ_glyphiconクラス名</t>
    <rPh sb="21" eb="22">
      <t>メイ</t>
    </rPh>
    <phoneticPr fontId="4"/>
  </si>
  <si>
    <t>表示種別</t>
    <rPh sb="0" eb="2">
      <t>ヒョウジ</t>
    </rPh>
    <rPh sb="2" eb="4">
      <t>シュベツ</t>
    </rPh>
    <phoneticPr fontId="4"/>
  </si>
  <si>
    <t>コードマスタ?　　1：内容表示　2：直接リンク</t>
    <rPh sb="9" eb="11">
      <t>ナイヨウ</t>
    </rPh>
    <rPh sb="11" eb="13">
      <t>ヒョウジ</t>
    </rPh>
    <rPh sb="16" eb="18">
      <t>チョクセツ</t>
    </rPh>
    <phoneticPr fontId="4"/>
  </si>
  <si>
    <t>表示ウィンドウ種別</t>
    <rPh sb="0" eb="2">
      <t>ヒョウジ</t>
    </rPh>
    <rPh sb="7" eb="9">
      <t>シュベツ</t>
    </rPh>
    <phoneticPr fontId="4"/>
  </si>
  <si>
    <t>display_location_assort</t>
    <phoneticPr fontId="4"/>
  </si>
  <si>
    <t>コードマスタ?　　1：自ウィンドウ　2：別ウィンドウ</t>
    <rPh sb="9" eb="11">
      <t>ナイヨウ</t>
    </rPh>
    <rPh sb="11" eb="12">
      <t>ジ</t>
    </rPh>
    <rPh sb="18" eb="20">
      <t>チョクセツ</t>
    </rPh>
    <rPh sb="20" eb="21">
      <t>ベツ</t>
    </rPh>
    <phoneticPr fontId="4"/>
  </si>
  <si>
    <t>お知らせ管理</t>
    <rPh sb="1" eb="2">
      <t>シ</t>
    </rPh>
    <rPh sb="4" eb="6">
      <t>カンリ</t>
    </rPh>
    <phoneticPr fontId="9"/>
  </si>
  <si>
    <t>t_information</t>
  </si>
  <si>
    <t>information_id</t>
    <phoneticPr fontId="4"/>
  </si>
  <si>
    <t>serial</t>
    <phoneticPr fontId="4"/>
  </si>
  <si>
    <t>information_assort</t>
    <phoneticPr fontId="4"/>
  </si>
  <si>
    <t>integer</t>
    <phoneticPr fontId="4"/>
  </si>
  <si>
    <t>タイトル</t>
    <phoneticPr fontId="4"/>
  </si>
  <si>
    <t>title</t>
    <phoneticPr fontId="4"/>
  </si>
  <si>
    <t>text</t>
    <phoneticPr fontId="4"/>
  </si>
  <si>
    <t>content</t>
    <phoneticPr fontId="4"/>
  </si>
  <si>
    <t>text</t>
    <phoneticPr fontId="4"/>
  </si>
  <si>
    <t>event_date</t>
    <phoneticPr fontId="4"/>
  </si>
  <si>
    <t>date</t>
    <phoneticPr fontId="4"/>
  </si>
  <si>
    <t>event_start_time</t>
    <phoneticPr fontId="4"/>
  </si>
  <si>
    <t>event_end_time</t>
    <phoneticPr fontId="4"/>
  </si>
  <si>
    <t>event_place</t>
    <phoneticPr fontId="4"/>
  </si>
  <si>
    <t>display_period_start</t>
    <phoneticPr fontId="4"/>
  </si>
  <si>
    <t>display_period_end</t>
    <phoneticPr fontId="4"/>
  </si>
  <si>
    <t>ブートストラップ_glyphiconID</t>
    <phoneticPr fontId="4"/>
  </si>
  <si>
    <t>glyphicon_id</t>
    <phoneticPr fontId="4"/>
  </si>
  <si>
    <t>コードマスタ：グリフィコン</t>
    <phoneticPr fontId="4"/>
  </si>
  <si>
    <t>glyphicon_class</t>
    <phoneticPr fontId="4"/>
  </si>
  <si>
    <t>イベントの色</t>
    <rPh sb="5" eb="6">
      <t>イロ</t>
    </rPh>
    <phoneticPr fontId="4"/>
  </si>
  <si>
    <t>event_color</t>
    <phoneticPr fontId="4"/>
  </si>
  <si>
    <t>display_assort</t>
    <phoneticPr fontId="4"/>
  </si>
  <si>
    <t>URL</t>
    <phoneticPr fontId="4"/>
  </si>
  <si>
    <t>url</t>
    <phoneticPr fontId="4"/>
  </si>
  <si>
    <t>null</t>
    <phoneticPr fontId="4"/>
  </si>
  <si>
    <t>insert into t_information(information_id,information_assort,title,content,event_date,event_start_time,event_end_time,event_place,display_period_start,display_period_end,glyphicon_id,glyphicon_class,event_color,display_assort,url,display_location_assort,display_flg,delete_flg,regist_datetime,regist_userid,update_datetime,update_userid,option1,option2,option3,option4,option5,data_migration)select information_id,information_assort,title,content,event_date,event_start_time,event_end_time,event_place,display_period_start,display_period_end,glyphicon_id,glyphicon_class,null,display_assort,url,display_location_assort,display_flg,delete_flg,regist_datetime,regist_userid,update_datetime,update_userid,option1,option2,option3,option4,option5,data_migration from t_information_bk;</t>
    <phoneticPr fontId="9"/>
  </si>
  <si>
    <t>company_capital_info</t>
  </si>
  <si>
    <t>company_foundation_year</t>
  </si>
  <si>
    <t>company_foundation_month</t>
  </si>
  <si>
    <t>sales_info</t>
  </si>
  <si>
    <t>employee_number_info</t>
  </si>
  <si>
    <t>stock_class_info</t>
  </si>
  <si>
    <t>くるみん認定「子育てサポート企業」</t>
  </si>
  <si>
    <t>プラチナくるみん認定「子育てサポート企業」</t>
  </si>
  <si>
    <t>企業コード</t>
    <phoneticPr fontId="4"/>
  </si>
  <si>
    <t>PITA共通企業マスタとの連携キー</t>
    <rPh sb="3" eb="4">
      <t>キョウツウ</t>
    </rPh>
    <rPh sb="5" eb="7">
      <t>キギョウ</t>
    </rPh>
    <rPh sb="12" eb="14">
      <t>レンケイ</t>
    </rPh>
    <phoneticPr fontId="4"/>
  </si>
  <si>
    <t>企業マイナンバー</t>
    <rPh sb="0" eb="1">
      <t>キギョウ</t>
    </rPh>
    <phoneticPr fontId="4"/>
  </si>
  <si>
    <t>法人形態ID</t>
    <phoneticPr fontId="4"/>
  </si>
  <si>
    <t>コードマスタ：法人形態</t>
    <rPh sb="6" eb="8">
      <t>ホウジン</t>
    </rPh>
    <rPh sb="8" eb="10">
      <t>ケイタイ</t>
    </rPh>
    <phoneticPr fontId="4"/>
  </si>
  <si>
    <t>企業名</t>
    <rPh sb="0" eb="2">
      <t>キギョウ</t>
    </rPh>
    <rPh sb="2" eb="3">
      <t>メイ</t>
    </rPh>
    <phoneticPr fontId="4"/>
  </si>
  <si>
    <t>company_name</t>
    <phoneticPr fontId="4"/>
  </si>
  <si>
    <t>企業カナ名</t>
    <rPh sb="0" eb="2">
      <t>キギョウ</t>
    </rPh>
    <rPh sb="4" eb="5">
      <t>メイ</t>
    </rPh>
    <phoneticPr fontId="5"/>
  </si>
  <si>
    <t>company_kana_name</t>
    <phoneticPr fontId="4"/>
  </si>
  <si>
    <t>企業英語名</t>
    <rPh sb="0" eb="2">
      <t>キギョウ</t>
    </rPh>
    <rPh sb="2" eb="4">
      <t>エイゴ</t>
    </rPh>
    <rPh sb="4" eb="5">
      <t>メイ</t>
    </rPh>
    <phoneticPr fontId="6"/>
  </si>
  <si>
    <t>company_alphabet_name</t>
    <phoneticPr fontId="4"/>
  </si>
  <si>
    <t>search_company_name</t>
    <phoneticPr fontId="4"/>
  </si>
  <si>
    <t>主業種コード</t>
    <rPh sb="0" eb="1">
      <t>シュ</t>
    </rPh>
    <rPh sb="1" eb="3">
      <t>ギョウシュ</t>
    </rPh>
    <phoneticPr fontId="27"/>
  </si>
  <si>
    <t>main_industry_class_code</t>
    <phoneticPr fontId="4"/>
  </si>
  <si>
    <t>主業種の業種コードを設定</t>
    <rPh sb="3" eb="5">
      <t>ギョウシュ</t>
    </rPh>
    <rPh sb="9" eb="11">
      <t>セッテイ</t>
    </rPh>
    <phoneticPr fontId="4"/>
  </si>
  <si>
    <t>国内外種別</t>
    <rPh sb="0" eb="3">
      <t>コクナイガイ</t>
    </rPh>
    <rPh sb="3" eb="5">
      <t>シュベツ</t>
    </rPh>
    <phoneticPr fontId="4"/>
  </si>
  <si>
    <t>destination_area_assort</t>
    <phoneticPr fontId="4"/>
  </si>
  <si>
    <t>コードマスタ：国内外</t>
    <rPh sb="7" eb="10">
      <t>コクナイガイ</t>
    </rPh>
    <phoneticPr fontId="4"/>
  </si>
  <si>
    <t>本社郵便番号</t>
    <rPh sb="0" eb="2">
      <t>ホンシャ</t>
    </rPh>
    <rPh sb="2" eb="4">
      <t>ユウビン</t>
    </rPh>
    <rPh sb="4" eb="6">
      <t>バンゴウ</t>
    </rPh>
    <phoneticPr fontId="5"/>
  </si>
  <si>
    <t>postal_code</t>
    <phoneticPr fontId="4"/>
  </si>
  <si>
    <t>本社所在都道府県</t>
    <rPh sb="0" eb="2">
      <t>ホンシャ</t>
    </rPh>
    <rPh sb="2" eb="4">
      <t>ショザイ</t>
    </rPh>
    <rPh sb="4" eb="8">
      <t>トドウフケン</t>
    </rPh>
    <phoneticPr fontId="5"/>
  </si>
  <si>
    <t>prefecture</t>
    <phoneticPr fontId="4"/>
  </si>
  <si>
    <t>text</t>
    <phoneticPr fontId="4"/>
  </si>
  <si>
    <t>city</t>
    <phoneticPr fontId="4"/>
  </si>
  <si>
    <t>city_block</t>
    <phoneticPr fontId="4"/>
  </si>
  <si>
    <t>本社所在都道府県コード</t>
    <rPh sb="4" eb="8">
      <t>トドウフケン</t>
    </rPh>
    <phoneticPr fontId="5"/>
  </si>
  <si>
    <t>m_area</t>
    <phoneticPr fontId="4"/>
  </si>
  <si>
    <t>本社所在市区町村コード</t>
    <rPh sb="4" eb="6">
      <t>シク</t>
    </rPh>
    <rPh sb="6" eb="8">
      <t>チョウソン</t>
    </rPh>
    <phoneticPr fontId="5"/>
  </si>
  <si>
    <t>city_code</t>
    <phoneticPr fontId="4"/>
  </si>
  <si>
    <t>本社電話番号</t>
    <rPh sb="0" eb="2">
      <t>ホンシャ</t>
    </rPh>
    <rPh sb="2" eb="4">
      <t>デンワ</t>
    </rPh>
    <rPh sb="4" eb="6">
      <t>バンゴウ</t>
    </rPh>
    <phoneticPr fontId="5"/>
  </si>
  <si>
    <t>tel_number</t>
    <phoneticPr fontId="4"/>
  </si>
  <si>
    <t>資本金</t>
    <rPh sb="0" eb="2">
      <t>シホン</t>
    </rPh>
    <rPh sb="2" eb="3">
      <t>キン</t>
    </rPh>
    <phoneticPr fontId="5"/>
  </si>
  <si>
    <t>company_capital</t>
    <phoneticPr fontId="4"/>
  </si>
  <si>
    <t>decimal(15)</t>
    <phoneticPr fontId="4"/>
  </si>
  <si>
    <t>資本金補足情報</t>
    <rPh sb="0" eb="3">
      <t>シホンキン</t>
    </rPh>
    <rPh sb="3" eb="5">
      <t>ホソク</t>
    </rPh>
    <rPh sb="5" eb="7">
      <t>ジョウホウ</t>
    </rPh>
    <phoneticPr fontId="24"/>
  </si>
  <si>
    <t>text</t>
    <phoneticPr fontId="9"/>
  </si>
  <si>
    <t>創業年</t>
    <rPh sb="0" eb="2">
      <t>ソウギョウ</t>
    </rPh>
    <rPh sb="2" eb="3">
      <t>ネン</t>
    </rPh>
    <phoneticPr fontId="24"/>
  </si>
  <si>
    <t>創業月</t>
    <rPh sb="0" eb="2">
      <t>ソウギョウ</t>
    </rPh>
    <rPh sb="2" eb="3">
      <t>ツキ</t>
    </rPh>
    <phoneticPr fontId="24"/>
  </si>
  <si>
    <t>設立年</t>
    <rPh sb="0" eb="2">
      <t>セツリツ</t>
    </rPh>
    <rPh sb="2" eb="3">
      <t>ネン</t>
    </rPh>
    <phoneticPr fontId="5"/>
  </si>
  <si>
    <t>company_establishment_year</t>
    <phoneticPr fontId="4"/>
  </si>
  <si>
    <t>設立月</t>
    <rPh sb="0" eb="2">
      <t>セツリツ</t>
    </rPh>
    <rPh sb="2" eb="3">
      <t>ツキ</t>
    </rPh>
    <phoneticPr fontId="5"/>
  </si>
  <si>
    <t>company_establishment_month</t>
    <phoneticPr fontId="4"/>
  </si>
  <si>
    <t>年商</t>
    <rPh sb="0" eb="2">
      <t>ネンショウ</t>
    </rPh>
    <phoneticPr fontId="5"/>
  </si>
  <si>
    <t>sales</t>
    <phoneticPr fontId="4"/>
  </si>
  <si>
    <t>売上高補足情報</t>
    <rPh sb="3" eb="7">
      <t>ホソクジョウホウ</t>
    </rPh>
    <phoneticPr fontId="28"/>
  </si>
  <si>
    <t>text</t>
    <phoneticPr fontId="9"/>
  </si>
  <si>
    <t>従業員数</t>
    <rPh sb="0" eb="3">
      <t>ジュウギョウイン</t>
    </rPh>
    <rPh sb="3" eb="4">
      <t>スウ</t>
    </rPh>
    <phoneticPr fontId="5"/>
  </si>
  <si>
    <t>employee_number</t>
    <phoneticPr fontId="4"/>
  </si>
  <si>
    <t>integer</t>
    <phoneticPr fontId="4"/>
  </si>
  <si>
    <t>従業員補足情報</t>
    <rPh sb="3" eb="7">
      <t>ホソクジョウホウ</t>
    </rPh>
    <phoneticPr fontId="28"/>
  </si>
  <si>
    <t>所属株式市場コード</t>
    <rPh sb="0" eb="2">
      <t>ショゾク</t>
    </rPh>
    <rPh sb="2" eb="4">
      <t>カブシキ</t>
    </rPh>
    <rPh sb="4" eb="6">
      <t>シジョウ</t>
    </rPh>
    <phoneticPr fontId="4"/>
  </si>
  <si>
    <t>stock_market_assort</t>
    <phoneticPr fontId="4"/>
  </si>
  <si>
    <t>上場区分マスタ</t>
    <phoneticPr fontId="4"/>
  </si>
  <si>
    <t>株式区分補足情報</t>
    <rPh sb="4" eb="8">
      <t>ホソクジョウホウ</t>
    </rPh>
    <phoneticPr fontId="29"/>
  </si>
  <si>
    <t>代表者名</t>
    <rPh sb="0" eb="3">
      <t>ダイヒョウシャ</t>
    </rPh>
    <rPh sb="3" eb="4">
      <t>メイ</t>
    </rPh>
    <phoneticPr fontId="5"/>
  </si>
  <si>
    <t>representative_name</t>
    <phoneticPr fontId="4"/>
  </si>
  <si>
    <t>company_hp_url</t>
    <phoneticPr fontId="4"/>
  </si>
  <si>
    <t>健康経営優良認定</t>
    <rPh sb="6" eb="8">
      <t>ニンテイ</t>
    </rPh>
    <phoneticPr fontId="29"/>
  </si>
  <si>
    <t>good_health_manage_company_flg</t>
    <phoneticPr fontId="4"/>
  </si>
  <si>
    <t>parenting_support_company_1_flg</t>
    <phoneticPr fontId="4"/>
  </si>
  <si>
    <t>parenting_support_company_2_flg</t>
    <phoneticPr fontId="4"/>
  </si>
  <si>
    <t>えるぼし認定「女性活躍企業」</t>
    <rPh sb="11" eb="13">
      <t>キギョウ</t>
    </rPh>
    <phoneticPr fontId="29"/>
  </si>
  <si>
    <t>female_active_company_flg</t>
    <phoneticPr fontId="4"/>
  </si>
  <si>
    <t>ユースエール認定「若者雇用促進」</t>
    <rPh sb="9" eb="11">
      <t>ワカモノ</t>
    </rPh>
    <rPh sb="11" eb="13">
      <t>コヨウ</t>
    </rPh>
    <rPh sb="13" eb="15">
      <t>ソクシン</t>
    </rPh>
    <phoneticPr fontId="29"/>
  </si>
  <si>
    <t>youth_employment_promote_flg</t>
    <phoneticPr fontId="4"/>
  </si>
  <si>
    <t>労基法違反</t>
    <rPh sb="0" eb="3">
      <t>ロウキホウ</t>
    </rPh>
    <rPh sb="3" eb="5">
      <t>イハン</t>
    </rPh>
    <phoneticPr fontId="29"/>
  </si>
  <si>
    <t>labor_law_violation_flg</t>
    <phoneticPr fontId="4"/>
  </si>
  <si>
    <t>企業補足情報（元支店名）</t>
    <rPh sb="7" eb="8">
      <t>モト</t>
    </rPh>
    <rPh sb="8" eb="11">
      <t>シテンメイ</t>
    </rPh>
    <phoneticPr fontId="5"/>
  </si>
  <si>
    <t>supplementary_info</t>
    <phoneticPr fontId="4"/>
  </si>
  <si>
    <t>text</t>
    <phoneticPr fontId="4"/>
  </si>
  <si>
    <t>public_student_flg</t>
    <phoneticPr fontId="4"/>
  </si>
  <si>
    <t>学生非公開理由</t>
    <rPh sb="2" eb="3">
      <t>ヒ</t>
    </rPh>
    <rPh sb="5" eb="7">
      <t>リユウ</t>
    </rPh>
    <phoneticPr fontId="6"/>
  </si>
  <si>
    <t>unpublished_reason</t>
    <phoneticPr fontId="4"/>
  </si>
  <si>
    <t>企業閉鎖フラグ</t>
    <rPh sb="0" eb="2">
      <t>キギョウ</t>
    </rPh>
    <rPh sb="2" eb="4">
      <t>ヘイサ</t>
    </rPh>
    <phoneticPr fontId="3"/>
  </si>
  <si>
    <t>company_closing_flg</t>
    <phoneticPr fontId="4"/>
  </si>
  <si>
    <t>registration_company_closing_date</t>
    <phoneticPr fontId="4"/>
  </si>
  <si>
    <t>date</t>
    <phoneticPr fontId="4"/>
  </si>
  <si>
    <t>registration_company_closing_reason</t>
    <phoneticPr fontId="4"/>
  </si>
  <si>
    <t>successor_my_number</t>
    <phoneticPr fontId="4"/>
  </si>
  <si>
    <t>change_reason_detail</t>
    <phoneticPr fontId="4"/>
  </si>
  <si>
    <t>採用担当郵便番号</t>
    <rPh sb="4" eb="6">
      <t>ユウビン</t>
    </rPh>
    <rPh sb="6" eb="8">
      <t>バンゴウ</t>
    </rPh>
    <phoneticPr fontId="5"/>
  </si>
  <si>
    <t>recruiter_mail_address</t>
    <phoneticPr fontId="4"/>
  </si>
  <si>
    <t>初回メンテナンス済フラグ</t>
    <rPh sb="0" eb="2">
      <t>ショカイ</t>
    </rPh>
    <rPh sb="8" eb="9">
      <t>スミ</t>
    </rPh>
    <phoneticPr fontId="4"/>
  </si>
  <si>
    <t>first_maintenance_flg</t>
    <phoneticPr fontId="4"/>
  </si>
  <si>
    <t>data_migration</t>
    <phoneticPr fontId="4"/>
  </si>
  <si>
    <t>company_code</t>
    <phoneticPr fontId="4"/>
  </si>
  <si>
    <t>company_my_number</t>
    <phoneticPr fontId="4"/>
  </si>
  <si>
    <t>company_name</t>
    <phoneticPr fontId="4"/>
  </si>
  <si>
    <t>company_kana_name</t>
    <phoneticPr fontId="4"/>
  </si>
  <si>
    <t>search_company_name</t>
    <phoneticPr fontId="4"/>
  </si>
  <si>
    <t>main_industry_class_code</t>
    <phoneticPr fontId="4"/>
  </si>
  <si>
    <t>destination_area_assort</t>
    <phoneticPr fontId="4"/>
  </si>
  <si>
    <t>postal_code</t>
    <phoneticPr fontId="4"/>
  </si>
  <si>
    <t>prefecture</t>
    <phoneticPr fontId="4"/>
  </si>
  <si>
    <t>city</t>
    <phoneticPr fontId="4"/>
  </si>
  <si>
    <t>city_block</t>
    <phoneticPr fontId="4"/>
  </si>
  <si>
    <t>prefecture_code</t>
    <phoneticPr fontId="4"/>
  </si>
  <si>
    <t>city_code</t>
    <phoneticPr fontId="4"/>
  </si>
  <si>
    <t>tel_number</t>
    <phoneticPr fontId="4"/>
  </si>
  <si>
    <t>company_capital</t>
    <phoneticPr fontId="4"/>
  </si>
  <si>
    <t>company_establishment_year</t>
    <phoneticPr fontId="4"/>
  </si>
  <si>
    <t>company_establishment_month</t>
    <phoneticPr fontId="4"/>
  </si>
  <si>
    <t>sales</t>
    <phoneticPr fontId="4"/>
  </si>
  <si>
    <t>employee_number</t>
    <phoneticPr fontId="4"/>
  </si>
  <si>
    <t>stock_market_assort</t>
    <phoneticPr fontId="4"/>
  </si>
  <si>
    <t>representative_name</t>
    <phoneticPr fontId="4"/>
  </si>
  <si>
    <t>company_hp_url</t>
    <phoneticPr fontId="4"/>
  </si>
  <si>
    <t>supplementary_info</t>
    <phoneticPr fontId="4"/>
  </si>
  <si>
    <t>public_student_flg</t>
    <phoneticPr fontId="4"/>
  </si>
  <si>
    <t>unpublished_reason</t>
    <phoneticPr fontId="4"/>
  </si>
  <si>
    <t>company_closing_flg</t>
    <phoneticPr fontId="4"/>
  </si>
  <si>
    <t>registration_company_closing_date</t>
    <phoneticPr fontId="4"/>
  </si>
  <si>
    <t>registration_company_closing_reason</t>
    <phoneticPr fontId="4"/>
  </si>
  <si>
    <t>successor_my_number</t>
    <phoneticPr fontId="4"/>
  </si>
  <si>
    <t>change_reason_detail</t>
    <phoneticPr fontId="4"/>
  </si>
  <si>
    <t>recruiter_mail_address</t>
    <phoneticPr fontId="4"/>
  </si>
  <si>
    <t>note</t>
    <phoneticPr fontId="4"/>
  </si>
  <si>
    <t>first_maintenance_flg</t>
    <phoneticPr fontId="4"/>
  </si>
  <si>
    <t>delete_flg</t>
    <phoneticPr fontId="4"/>
  </si>
  <si>
    <t>regist_userid</t>
    <phoneticPr fontId="4"/>
  </si>
  <si>
    <t>update_datetime</t>
    <phoneticPr fontId="4"/>
  </si>
  <si>
    <t>update_userid</t>
    <phoneticPr fontId="4"/>
  </si>
  <si>
    <t>data_migration</t>
    <phoneticPr fontId="4"/>
  </si>
  <si>
    <t>insert into m_company(company_code,company_my_number,corporate_form_id,company_name,company_kana_name,company_alphabet_name,search_company_name,main_industry_class_code,destination_area_assort,postal_code,prefecture,city,city_block,prefecture_code,city_code,tel_number,company_capital,company_capital_info,company_foundation_year,company_foundation_month,company_establishment_year,company_establishment_month,sales,sales_info,employee_number,employee_number_info,stock_market_assort,stock_class_info,representative_name,company_hp_url,good_health_manage_company_flg,parenting_support_company_1_flg,parenting_support_company_2_flg,female_active_company_flg,youth_employment_promote_flg,labor_law_violation_flg,supplementary_info,public_student_flg,unpublished_reason,company_closing_flg,registration_company_closing_date,registration_company_closing_reason,successor_my_number,change_reason_detail,recruiter_name,recruiter_position_name,recruiter_post_name,recruiter_address_postcode,recruiter_prefecture,recruiter_city,recruiter_city_block,recruiter_prefecture_code,recruiter_tel_number,recruiter_fax_number,recruiter_section_mail_address,recruiter_mail_address,note,first_maintenance_flg,display_flg,delete_flg,regist_datetime,regist_userid,update_datetime,update_userid,option1,option2,option3,option4,option5,data_migration)select company_code,company_my_number,corporate_form_id,company_name,company_kana_name,null,search_company_name,main_industry_class_code,destination_area_assort,postal_code,prefecture,city,city_block,prefecture_code,city_code,tel_number,company_capital,null,null,null,company_establishment_year,company_establishment_month,sales,null,employee_number,null,stock_market_assort,null,representative_name,company_hp_url,null,null,null,null,null,null,supplementary_info,public_student_flg,unpublished_reason,company_closing_flg,registration_company_closing_date,registration_company_closing_reason,successor_my_number,change_reason_detail,recruiter_name,recruiter_position_name,recruiter_post_name,recruiter_address_postcode,recruiter_prefecture,recruiter_city,recruiter_city_block,recruiter_prefecture_code,recruiter_tel_number,recruiter_fax_number,recruiter_section_mail_address,recruiter_mail_address,note,first_maintenance_flg,display_flg,delete_flg,regist_datetime,regist_userid,update_datetime,update_userid,option1,option2,option3,option4,option5,data_migration from m_company_bk;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</si>
</sst>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5" tint="-0.249977111117893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u/>
      <sz val="9"/>
      <color rgb="FF0070C0"/>
      <name val="メイリオ"/>
      <family val="3"/>
      <charset val="128"/>
    </font>
    <font>
      <sz val="6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9"/>
      <color rgb="FFFFFFFF"/>
      <name val="ＭＳ Ｐゴシック"/>
      <family val="3"/>
      <charset val="128"/>
      <scheme val="minor"/>
    </font>
    <font>
      <b/>
      <u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name val="Meiryo UI"/>
      <family val="3"/>
      <charset val="128"/>
    </font>
    <font>
      <sz val="9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rgb="FF0000CC"/>
      <name val="Meiryo UI"/>
      <family val="3"/>
      <charset val="128"/>
    </font>
    <font>
      <sz val="9"/>
      <color rgb="FF0000CC"/>
      <name val="ＭＳ Ｐゴシック"/>
      <family val="2"/>
      <charset val="128"/>
      <scheme val="minor"/>
    </font>
    <font>
      <sz val="9"/>
      <color rgb="FF0000CC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11"/>
      <color theme="1"/>
      <name val="Meiryo UI"/>
      <family val="2"/>
      <charset val="128"/>
    </font>
    <font>
      <sz val="11"/>
      <color indexed="8"/>
      <name val="ＭＳ Ｐゴシック"/>
      <family val="2"/>
      <charset val="128"/>
    </font>
    <font>
      <sz val="9"/>
      <color indexed="8"/>
      <name val="Meiryo UI"/>
      <family val="3"/>
      <charset val="128"/>
    </font>
    <font>
      <sz val="9"/>
      <color rgb="FFFFFFFF"/>
      <name val="ＭＳ Ｐゴシック"/>
      <family val="2"/>
      <charset val="128"/>
      <scheme val="minor"/>
    </font>
    <font>
      <sz val="11"/>
      <color rgb="FF9C6500"/>
      <name val="Meiryo UI"/>
      <family val="2"/>
      <charset val="128"/>
    </font>
    <font>
      <sz val="10"/>
      <color rgb="FFFA7D00"/>
      <name val="Meiryo UI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25" fillId="0" borderId="0">
      <alignment vertical="center"/>
    </xf>
  </cellStyleXfs>
  <cellXfs count="96">
    <xf numFmtId="0" fontId="0" fillId="0" borderId="0" xfId="0">
      <alignment vertical="center"/>
    </xf>
    <xf numFmtId="49" fontId="3" fillId="2" borderId="4" xfId="0" applyNumberFormat="1" applyFont="1" applyFill="1" applyBorder="1">
      <alignment vertical="center"/>
    </xf>
    <xf numFmtId="49" fontId="3" fillId="0" borderId="4" xfId="0" applyNumberFormat="1" applyFont="1" applyBorder="1">
      <alignment vertical="center"/>
    </xf>
    <xf numFmtId="49" fontId="3" fillId="0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49" fontId="3" fillId="0" borderId="3" xfId="0" applyNumberFormat="1" applyFont="1" applyBorder="1">
      <alignment vertical="center"/>
    </xf>
    <xf numFmtId="49" fontId="3" fillId="0" borderId="2" xfId="0" applyNumberFormat="1" applyFont="1" applyBorder="1">
      <alignment vertical="center"/>
    </xf>
    <xf numFmtId="0" fontId="11" fillId="3" borderId="5" xfId="0" applyFont="1" applyFill="1" applyBorder="1">
      <alignment vertical="center"/>
    </xf>
    <xf numFmtId="49" fontId="11" fillId="3" borderId="6" xfId="0" applyNumberFormat="1" applyFont="1" applyFill="1" applyBorder="1">
      <alignment vertical="center"/>
    </xf>
    <xf numFmtId="0" fontId="3" fillId="0" borderId="8" xfId="0" applyFont="1" applyBorder="1">
      <alignment vertical="center"/>
    </xf>
    <xf numFmtId="49" fontId="3" fillId="0" borderId="1" xfId="0" quotePrefix="1" applyNumberFormat="1" applyFont="1" applyBorder="1">
      <alignment vertical="center"/>
    </xf>
    <xf numFmtId="49" fontId="7" fillId="0" borderId="9" xfId="0" quotePrefix="1" applyNumberFormat="1" applyFont="1" applyBorder="1" applyAlignment="1">
      <alignment vertical="center" wrapText="1"/>
    </xf>
    <xf numFmtId="49" fontId="3" fillId="0" borderId="3" xfId="0" quotePrefix="1" applyNumberFormat="1" applyFont="1" applyBorder="1">
      <alignment vertical="center"/>
    </xf>
    <xf numFmtId="0" fontId="3" fillId="0" borderId="12" xfId="0" applyFont="1" applyBorder="1">
      <alignment vertical="center"/>
    </xf>
    <xf numFmtId="49" fontId="3" fillId="0" borderId="2" xfId="0" quotePrefix="1" applyNumberFormat="1" applyFont="1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49" fontId="14" fillId="3" borderId="14" xfId="0" applyNumberFormat="1" applyFont="1" applyFill="1" applyBorder="1">
      <alignment vertical="center"/>
    </xf>
    <xf numFmtId="49" fontId="15" fillId="0" borderId="14" xfId="0" applyNumberFormat="1" applyFont="1" applyBorder="1" applyAlignment="1">
      <alignment vertical="center"/>
    </xf>
    <xf numFmtId="0" fontId="13" fillId="5" borderId="14" xfId="0" applyFont="1" applyFill="1" applyBorder="1">
      <alignment vertical="center"/>
    </xf>
    <xf numFmtId="49" fontId="15" fillId="4" borderId="14" xfId="0" applyNumberFormat="1" applyFont="1" applyFill="1" applyBorder="1" applyAlignment="1">
      <alignment vertical="center"/>
    </xf>
    <xf numFmtId="0" fontId="13" fillId="0" borderId="14" xfId="0" applyFont="1" applyBorder="1">
      <alignment vertical="center"/>
    </xf>
    <xf numFmtId="0" fontId="16" fillId="3" borderId="5" xfId="0" applyFont="1" applyFill="1" applyBorder="1">
      <alignment vertical="center"/>
    </xf>
    <xf numFmtId="49" fontId="16" fillId="3" borderId="6" xfId="0" applyNumberFormat="1" applyFont="1" applyFill="1" applyBorder="1">
      <alignment vertical="center"/>
    </xf>
    <xf numFmtId="49" fontId="16" fillId="3" borderId="7" xfId="0" applyNumberFormat="1" applyFont="1" applyFill="1" applyBorder="1">
      <alignment vertical="center"/>
    </xf>
    <xf numFmtId="49" fontId="14" fillId="5" borderId="14" xfId="0" applyNumberFormat="1" applyFont="1" applyFill="1" applyBorder="1">
      <alignment vertical="center"/>
    </xf>
    <xf numFmtId="0" fontId="17" fillId="0" borderId="8" xfId="0" applyFont="1" applyBorder="1">
      <alignment vertical="center"/>
    </xf>
    <xf numFmtId="49" fontId="17" fillId="2" borderId="1" xfId="0" applyNumberFormat="1" applyFont="1" applyFill="1" applyBorder="1">
      <alignment vertical="center"/>
    </xf>
    <xf numFmtId="49" fontId="17" fillId="0" borderId="1" xfId="0" applyNumberFormat="1" applyFont="1" applyBorder="1">
      <alignment vertical="center"/>
    </xf>
    <xf numFmtId="49" fontId="17" fillId="0" borderId="1" xfId="0" quotePrefix="1" applyNumberFormat="1" applyFont="1" applyBorder="1">
      <alignment vertical="center"/>
    </xf>
    <xf numFmtId="49" fontId="17" fillId="0" borderId="9" xfId="0" quotePrefix="1" applyNumberFormat="1" applyFont="1" applyBorder="1">
      <alignment vertical="center"/>
    </xf>
    <xf numFmtId="49" fontId="17" fillId="0" borderId="14" xfId="0" applyNumberFormat="1" applyFont="1" applyBorder="1">
      <alignment vertical="center"/>
    </xf>
    <xf numFmtId="49" fontId="17" fillId="0" borderId="1" xfId="0" applyNumberFormat="1" applyFont="1" applyFill="1" applyBorder="1">
      <alignment vertical="center"/>
    </xf>
    <xf numFmtId="49" fontId="17" fillId="0" borderId="1" xfId="0" applyNumberFormat="1" applyFont="1" applyBorder="1" applyAlignment="1">
      <alignment vertical="center" shrinkToFit="1"/>
    </xf>
    <xf numFmtId="49" fontId="17" fillId="0" borderId="14" xfId="0" applyNumberFormat="1" applyFont="1" applyBorder="1" applyAlignment="1">
      <alignment vertical="center" shrinkToFit="1"/>
    </xf>
    <xf numFmtId="49" fontId="18" fillId="0" borderId="9" xfId="0" quotePrefix="1" applyNumberFormat="1" applyFont="1" applyBorder="1" applyAlignment="1">
      <alignment vertical="center" wrapText="1"/>
    </xf>
    <xf numFmtId="49" fontId="17" fillId="0" borderId="14" xfId="0" applyNumberFormat="1" applyFont="1" applyFill="1" applyBorder="1">
      <alignment vertical="center"/>
    </xf>
    <xf numFmtId="0" fontId="19" fillId="0" borderId="8" xfId="0" applyFont="1" applyBorder="1">
      <alignment vertical="center"/>
    </xf>
    <xf numFmtId="49" fontId="19" fillId="0" borderId="1" xfId="0" applyNumberFormat="1" applyFont="1" applyBorder="1">
      <alignment vertical="center"/>
    </xf>
    <xf numFmtId="49" fontId="19" fillId="0" borderId="1" xfId="0" quotePrefix="1" applyNumberFormat="1" applyFont="1" applyBorder="1">
      <alignment vertical="center"/>
    </xf>
    <xf numFmtId="49" fontId="19" fillId="0" borderId="9" xfId="0" quotePrefix="1" applyNumberFormat="1" applyFont="1" applyBorder="1">
      <alignment vertical="center"/>
    </xf>
    <xf numFmtId="49" fontId="19" fillId="0" borderId="14" xfId="0" applyNumberFormat="1" applyFont="1" applyBorder="1">
      <alignment vertical="center"/>
    </xf>
    <xf numFmtId="0" fontId="17" fillId="0" borderId="10" xfId="0" applyFont="1" applyBorder="1">
      <alignment vertical="center"/>
    </xf>
    <xf numFmtId="49" fontId="17" fillId="0" borderId="3" xfId="0" applyNumberFormat="1" applyFont="1" applyBorder="1">
      <alignment vertical="center"/>
    </xf>
    <xf numFmtId="49" fontId="17" fillId="0" borderId="3" xfId="0" quotePrefix="1" applyNumberFormat="1" applyFont="1" applyBorder="1">
      <alignment vertical="center"/>
    </xf>
    <xf numFmtId="49" fontId="17" fillId="0" borderId="11" xfId="0" quotePrefix="1" applyNumberFormat="1" applyFont="1" applyBorder="1">
      <alignment vertical="center"/>
    </xf>
    <xf numFmtId="0" fontId="17" fillId="0" borderId="12" xfId="0" applyFont="1" applyBorder="1">
      <alignment vertical="center"/>
    </xf>
    <xf numFmtId="49" fontId="17" fillId="0" borderId="2" xfId="0" applyNumberFormat="1" applyFont="1" applyBorder="1">
      <alignment vertical="center"/>
    </xf>
    <xf numFmtId="49" fontId="17" fillId="0" borderId="2" xfId="0" quotePrefix="1" applyNumberFormat="1" applyFont="1" applyBorder="1">
      <alignment vertical="center"/>
    </xf>
    <xf numFmtId="49" fontId="17" fillId="0" borderId="13" xfId="0" quotePrefix="1" applyNumberFormat="1" applyFont="1" applyBorder="1">
      <alignment vertical="center"/>
    </xf>
    <xf numFmtId="0" fontId="13" fillId="0" borderId="14" xfId="0" applyFont="1" applyBorder="1" applyAlignment="1">
      <alignment vertical="center"/>
    </xf>
    <xf numFmtId="0" fontId="3" fillId="0" borderId="15" xfId="0" applyFont="1" applyBorder="1">
      <alignment vertical="center"/>
    </xf>
    <xf numFmtId="49" fontId="3" fillId="0" borderId="4" xfId="0" quotePrefix="1" applyNumberFormat="1" applyFont="1" applyBorder="1">
      <alignment vertical="center"/>
    </xf>
    <xf numFmtId="0" fontId="15" fillId="0" borderId="14" xfId="0" applyNumberFormat="1" applyFont="1" applyFill="1" applyBorder="1" applyAlignment="1">
      <alignment vertical="center"/>
    </xf>
    <xf numFmtId="0" fontId="13" fillId="0" borderId="0" xfId="0" applyFont="1" applyAlignment="1">
      <alignment vertical="center" wrapText="1"/>
    </xf>
    <xf numFmtId="49" fontId="11" fillId="3" borderId="7" xfId="0" applyNumberFormat="1" applyFont="1" applyFill="1" applyBorder="1" applyAlignment="1">
      <alignment vertical="center" wrapText="1"/>
    </xf>
    <xf numFmtId="49" fontId="3" fillId="0" borderId="16" xfId="0" quotePrefix="1" applyNumberFormat="1" applyFont="1" applyBorder="1" applyAlignment="1">
      <alignment vertical="center" wrapText="1"/>
    </xf>
    <xf numFmtId="49" fontId="3" fillId="0" borderId="9" xfId="0" quotePrefix="1" applyNumberFormat="1" applyFont="1" applyBorder="1" applyAlignment="1">
      <alignment vertical="center" wrapText="1"/>
    </xf>
    <xf numFmtId="49" fontId="3" fillId="0" borderId="11" xfId="0" quotePrefix="1" applyNumberFormat="1" applyFont="1" applyBorder="1" applyAlignment="1">
      <alignment vertical="center" wrapText="1"/>
    </xf>
    <xf numFmtId="49" fontId="3" fillId="0" borderId="13" xfId="0" quotePrefix="1" applyNumberFormat="1" applyFont="1" applyBorder="1" applyAlignment="1">
      <alignment vertical="center" wrapText="1"/>
    </xf>
    <xf numFmtId="49" fontId="17" fillId="2" borderId="14" xfId="0" applyNumberFormat="1" applyFont="1" applyFill="1" applyBorder="1">
      <alignment vertical="center"/>
    </xf>
    <xf numFmtId="0" fontId="17" fillId="0" borderId="14" xfId="0" applyFont="1" applyBorder="1">
      <alignment vertical="center"/>
    </xf>
    <xf numFmtId="49" fontId="17" fillId="0" borderId="14" xfId="0" quotePrefix="1" applyNumberFormat="1" applyFont="1" applyBorder="1">
      <alignment vertical="center"/>
    </xf>
    <xf numFmtId="49" fontId="18" fillId="0" borderId="14" xfId="0" quotePrefix="1" applyNumberFormat="1" applyFont="1" applyBorder="1" applyAlignment="1">
      <alignment vertical="center" wrapText="1"/>
    </xf>
    <xf numFmtId="0" fontId="19" fillId="0" borderId="14" xfId="0" applyFont="1" applyBorder="1">
      <alignment vertical="center"/>
    </xf>
    <xf numFmtId="49" fontId="19" fillId="0" borderId="14" xfId="0" quotePrefix="1" applyNumberFormat="1" applyFont="1" applyBorder="1">
      <alignment vertical="center"/>
    </xf>
    <xf numFmtId="0" fontId="13" fillId="2" borderId="14" xfId="0" quotePrefix="1" applyFont="1" applyFill="1" applyBorder="1">
      <alignment vertical="center"/>
    </xf>
    <xf numFmtId="0" fontId="20" fillId="0" borderId="8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1" fillId="0" borderId="8" xfId="0" applyFont="1" applyBorder="1">
      <alignment vertical="center"/>
    </xf>
    <xf numFmtId="49" fontId="21" fillId="0" borderId="1" xfId="0" applyNumberFormat="1" applyFont="1" applyBorder="1">
      <alignment vertical="center"/>
    </xf>
    <xf numFmtId="49" fontId="18" fillId="0" borderId="1" xfId="0" applyNumberFormat="1" applyFont="1" applyBorder="1">
      <alignment vertical="center"/>
    </xf>
    <xf numFmtId="49" fontId="22" fillId="2" borderId="1" xfId="0" applyNumberFormat="1" applyFont="1" applyFill="1" applyBorder="1">
      <alignment vertical="center"/>
    </xf>
    <xf numFmtId="49" fontId="3" fillId="0" borderId="9" xfId="0" quotePrefix="1" applyNumberFormat="1" applyFont="1" applyBorder="1">
      <alignment vertical="center"/>
    </xf>
    <xf numFmtId="49" fontId="22" fillId="0" borderId="1" xfId="0" applyNumberFormat="1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49" fontId="23" fillId="0" borderId="1" xfId="0" applyNumberFormat="1" applyFont="1" applyBorder="1">
      <alignment vertical="center"/>
    </xf>
    <xf numFmtId="49" fontId="23" fillId="0" borderId="1" xfId="0" quotePrefix="1" applyNumberFormat="1" applyFont="1" applyBorder="1">
      <alignment vertical="center"/>
    </xf>
    <xf numFmtId="49" fontId="23" fillId="0" borderId="9" xfId="0" quotePrefix="1" applyNumberFormat="1" applyFont="1" applyBorder="1">
      <alignment vertical="center"/>
    </xf>
    <xf numFmtId="49" fontId="3" fillId="0" borderId="1" xfId="0" applyNumberFormat="1" applyFont="1" applyBorder="1" applyAlignment="1">
      <alignment vertical="center"/>
    </xf>
    <xf numFmtId="49" fontId="3" fillId="0" borderId="11" xfId="0" quotePrefix="1" applyNumberFormat="1" applyFont="1" applyBorder="1">
      <alignment vertical="center"/>
    </xf>
    <xf numFmtId="49" fontId="3" fillId="0" borderId="13" xfId="0" quotePrefix="1" applyNumberFormat="1" applyFont="1" applyBorder="1">
      <alignment vertical="center"/>
    </xf>
    <xf numFmtId="49" fontId="3" fillId="2" borderId="1" xfId="0" applyNumberFormat="1" applyFont="1" applyFill="1" applyBorder="1">
      <alignment vertical="center"/>
    </xf>
    <xf numFmtId="0" fontId="18" fillId="2" borderId="8" xfId="3" applyFont="1" applyFill="1" applyBorder="1">
      <alignment vertical="center"/>
    </xf>
    <xf numFmtId="49" fontId="18" fillId="0" borderId="3" xfId="3" applyNumberFormat="1" applyFont="1" applyBorder="1">
      <alignment vertical="center"/>
    </xf>
    <xf numFmtId="49" fontId="18" fillId="0" borderId="1" xfId="3" applyNumberFormat="1" applyFont="1" applyBorder="1">
      <alignment vertical="center"/>
    </xf>
    <xf numFmtId="49" fontId="26" fillId="0" borderId="3" xfId="3" quotePrefix="1" applyNumberFormat="1" applyFont="1" applyBorder="1">
      <alignment vertical="center"/>
    </xf>
    <xf numFmtId="49" fontId="15" fillId="0" borderId="11" xfId="3" applyNumberFormat="1" applyFont="1" applyBorder="1">
      <alignment vertical="center"/>
    </xf>
    <xf numFmtId="0" fontId="26" fillId="2" borderId="8" xfId="3" applyFont="1" applyFill="1" applyBorder="1">
      <alignment vertical="center"/>
    </xf>
    <xf numFmtId="49" fontId="26" fillId="0" borderId="3" xfId="3" applyNumberFormat="1" applyFont="1" applyBorder="1">
      <alignment vertical="center"/>
    </xf>
    <xf numFmtId="49" fontId="26" fillId="0" borderId="1" xfId="3" applyNumberFormat="1" applyFont="1" applyBorder="1">
      <alignment vertical="center"/>
    </xf>
    <xf numFmtId="0" fontId="3" fillId="0" borderId="8" xfId="0" applyFont="1" applyFill="1" applyBorder="1">
      <alignment vertical="center"/>
    </xf>
    <xf numFmtId="0" fontId="7" fillId="0" borderId="8" xfId="0" applyFont="1" applyBorder="1">
      <alignment vertical="center"/>
    </xf>
    <xf numFmtId="49" fontId="23" fillId="0" borderId="9" xfId="0" quotePrefix="1" applyNumberFormat="1" applyFont="1" applyBorder="1" applyAlignment="1">
      <alignment vertical="center" wrapText="1"/>
    </xf>
    <xf numFmtId="0" fontId="3" fillId="0" borderId="10" xfId="0" applyFont="1" applyBorder="1">
      <alignment vertical="center"/>
    </xf>
    <xf numFmtId="49" fontId="18" fillId="2" borderId="1" xfId="0" applyNumberFormat="1" applyFont="1" applyFill="1" applyBorder="1">
      <alignment vertical="center"/>
    </xf>
  </cellXfs>
  <cellStyles count="4">
    <cellStyle name="ハイパーリンク 2" xfId="2"/>
    <cellStyle name="標準" xfId="0" builtinId="0"/>
    <cellStyle name="標準 2" xfId="1"/>
    <cellStyle name="標準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76200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9217" name="BuildSQL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76200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9457" name="BuildSQL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76200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7169" name="BuildSQL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123825</xdr:rowOff>
        </xdr:to>
        <xdr:sp macro="" textlink="">
          <xdr:nvSpPr>
            <xdr:cNvPr id="8193" name="BuildSQL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76200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5" name="BuildSQ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76200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6385" name="BuildSQL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76200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3313" name="BuildSQL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76200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5361" name="BuildSQL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70"/>
  <sheetViews>
    <sheetView topLeftCell="A4" zoomScaleNormal="100" workbookViewId="0">
      <selection activeCell="K10" sqref="K10"/>
    </sheetView>
  </sheetViews>
  <sheetFormatPr defaultRowHeight="15.75"/>
  <cols>
    <col min="1" max="1" width="2" style="16" customWidth="1"/>
    <col min="2" max="2" width="4" style="16" customWidth="1"/>
    <col min="3" max="3" width="18.21875" style="16" customWidth="1"/>
    <col min="4" max="4" width="16.77734375" style="16" customWidth="1"/>
    <col min="5" max="5" width="13" style="16" customWidth="1"/>
    <col min="6" max="7" width="5.6640625" style="16" customWidth="1"/>
    <col min="8" max="8" width="2.77734375" style="16" customWidth="1"/>
    <col min="9" max="10" width="3.33203125" style="16" customWidth="1"/>
    <col min="11" max="11" width="20" style="16" customWidth="1"/>
    <col min="12" max="16384" width="8.88671875" style="16"/>
  </cols>
  <sheetData>
    <row r="1" spans="2:11" ht="0.75" customHeight="1"/>
    <row r="2" spans="2:11" ht="0.75" customHeight="1"/>
    <row r="3" spans="2:11" ht="0.75" customHeight="1"/>
    <row r="4" spans="2:11" ht="0.75" customHeight="1"/>
    <row r="5" spans="2:11" ht="0.75" customHeight="1"/>
    <row r="7" spans="2:11">
      <c r="B7" s="15" t="s">
        <v>307</v>
      </c>
      <c r="K7" s="15"/>
    </row>
    <row r="8" spans="2:11">
      <c r="B8" s="15"/>
    </row>
    <row r="9" spans="2:11">
      <c r="B9" s="15"/>
      <c r="C9" s="17" t="s">
        <v>308</v>
      </c>
      <c r="D9" s="18" t="s">
        <v>380</v>
      </c>
      <c r="K9" s="19" t="s">
        <v>314</v>
      </c>
    </row>
    <row r="10" spans="2:11">
      <c r="B10" s="15"/>
      <c r="C10" s="17" t="s">
        <v>310</v>
      </c>
      <c r="D10" s="20" t="s">
        <v>381</v>
      </c>
      <c r="E10" s="16" t="s">
        <v>315</v>
      </c>
      <c r="K10" s="50" t="s">
        <v>501</v>
      </c>
    </row>
    <row r="11" spans="2:11">
      <c r="B11" s="15"/>
      <c r="C11" s="17" t="s">
        <v>312</v>
      </c>
      <c r="D11" s="53" t="str">
        <f>D10&amp;"_bk"</f>
        <v>m_company_bk</v>
      </c>
      <c r="K11" s="15"/>
    </row>
    <row r="12" spans="2:11" ht="16.5" thickBot="1"/>
    <row r="13" spans="2:11">
      <c r="B13" s="22" t="s">
        <v>316</v>
      </c>
      <c r="C13" s="23" t="s">
        <v>317</v>
      </c>
      <c r="D13" s="23" t="s">
        <v>174</v>
      </c>
      <c r="E13" s="23" t="s">
        <v>318</v>
      </c>
      <c r="F13" s="23" t="s">
        <v>176</v>
      </c>
      <c r="G13" s="23" t="s">
        <v>177</v>
      </c>
      <c r="H13" s="24" t="s">
        <v>66</v>
      </c>
      <c r="K13" s="25" t="s">
        <v>122</v>
      </c>
    </row>
    <row r="14" spans="2:11">
      <c r="B14" s="61">
        <v>1</v>
      </c>
      <c r="C14" s="60" t="s">
        <v>0</v>
      </c>
      <c r="D14" s="31" t="s">
        <v>1</v>
      </c>
      <c r="E14" s="31" t="s">
        <v>194</v>
      </c>
      <c r="F14" s="31" t="s">
        <v>179</v>
      </c>
      <c r="G14" s="62" t="s">
        <v>180</v>
      </c>
      <c r="H14" s="62" t="s">
        <v>382</v>
      </c>
      <c r="K14" s="31" t="s">
        <v>1</v>
      </c>
    </row>
    <row r="15" spans="2:11">
      <c r="B15" s="61">
        <v>2</v>
      </c>
      <c r="C15" s="36" t="s">
        <v>2</v>
      </c>
      <c r="D15" s="31" t="s">
        <v>3</v>
      </c>
      <c r="E15" s="31" t="s">
        <v>194</v>
      </c>
      <c r="F15" s="31"/>
      <c r="G15" s="62"/>
      <c r="H15" s="62" t="s">
        <v>383</v>
      </c>
      <c r="K15" s="31" t="s">
        <v>3</v>
      </c>
    </row>
    <row r="16" spans="2:11">
      <c r="B16" s="61">
        <v>3</v>
      </c>
      <c r="C16" s="36" t="s">
        <v>4</v>
      </c>
      <c r="D16" s="31" t="s">
        <v>5</v>
      </c>
      <c r="E16" s="31" t="s">
        <v>192</v>
      </c>
      <c r="F16" s="31"/>
      <c r="G16" s="62" t="s">
        <v>180</v>
      </c>
      <c r="H16" s="62" t="s">
        <v>384</v>
      </c>
      <c r="K16" s="31" t="s">
        <v>5</v>
      </c>
    </row>
    <row r="17" spans="2:11">
      <c r="B17" s="61">
        <v>4</v>
      </c>
      <c r="C17" s="31" t="s">
        <v>385</v>
      </c>
      <c r="D17" s="31" t="s">
        <v>6</v>
      </c>
      <c r="E17" s="31" t="s">
        <v>194</v>
      </c>
      <c r="F17" s="31"/>
      <c r="G17" s="62"/>
      <c r="H17" s="62"/>
      <c r="K17" s="31" t="s">
        <v>6</v>
      </c>
    </row>
    <row r="18" spans="2:11">
      <c r="B18" s="61">
        <v>5</v>
      </c>
      <c r="C18" s="31" t="s">
        <v>386</v>
      </c>
      <c r="D18" s="34" t="s">
        <v>7</v>
      </c>
      <c r="E18" s="31" t="s">
        <v>194</v>
      </c>
      <c r="F18" s="31"/>
      <c r="G18" s="62"/>
      <c r="H18" s="62"/>
      <c r="K18" s="34" t="s">
        <v>7</v>
      </c>
    </row>
    <row r="19" spans="2:11">
      <c r="B19" s="61">
        <v>6</v>
      </c>
      <c r="C19" s="31" t="s">
        <v>8</v>
      </c>
      <c r="D19" s="31" t="s">
        <v>9</v>
      </c>
      <c r="E19" s="31" t="s">
        <v>194</v>
      </c>
      <c r="F19" s="31"/>
      <c r="G19" s="62"/>
      <c r="H19" s="62"/>
      <c r="K19" s="31" t="s">
        <v>9</v>
      </c>
    </row>
    <row r="20" spans="2:11">
      <c r="B20" s="61">
        <v>7</v>
      </c>
      <c r="C20" s="31" t="s">
        <v>387</v>
      </c>
      <c r="D20" s="31" t="s">
        <v>10</v>
      </c>
      <c r="E20" s="31" t="s">
        <v>194</v>
      </c>
      <c r="F20" s="31"/>
      <c r="G20" s="62"/>
      <c r="H20" s="62" t="s">
        <v>388</v>
      </c>
      <c r="K20" s="31" t="s">
        <v>10</v>
      </c>
    </row>
    <row r="21" spans="2:11">
      <c r="B21" s="61">
        <v>8</v>
      </c>
      <c r="C21" s="31" t="s">
        <v>389</v>
      </c>
      <c r="D21" s="31" t="s">
        <v>11</v>
      </c>
      <c r="E21" s="31" t="s">
        <v>192</v>
      </c>
      <c r="F21" s="31"/>
      <c r="G21" s="62"/>
      <c r="H21" s="62" t="s">
        <v>390</v>
      </c>
      <c r="K21" s="31" t="s">
        <v>11</v>
      </c>
    </row>
    <row r="22" spans="2:11">
      <c r="B22" s="61">
        <v>9</v>
      </c>
      <c r="C22" s="31" t="s">
        <v>391</v>
      </c>
      <c r="D22" s="31" t="s">
        <v>12</v>
      </c>
      <c r="E22" s="31" t="s">
        <v>194</v>
      </c>
      <c r="F22" s="31"/>
      <c r="G22" s="62"/>
      <c r="H22" s="62"/>
      <c r="K22" s="31" t="s">
        <v>12</v>
      </c>
    </row>
    <row r="23" spans="2:11">
      <c r="B23" s="61">
        <v>10</v>
      </c>
      <c r="C23" s="31" t="s">
        <v>392</v>
      </c>
      <c r="D23" s="31" t="s">
        <v>13</v>
      </c>
      <c r="E23" s="31" t="s">
        <v>194</v>
      </c>
      <c r="F23" s="31"/>
      <c r="G23" s="62"/>
      <c r="H23" s="62"/>
      <c r="K23" s="31" t="s">
        <v>13</v>
      </c>
    </row>
    <row r="24" spans="2:11">
      <c r="B24" s="61">
        <v>11</v>
      </c>
      <c r="C24" s="31" t="s">
        <v>14</v>
      </c>
      <c r="D24" s="31" t="s">
        <v>15</v>
      </c>
      <c r="E24" s="31" t="s">
        <v>194</v>
      </c>
      <c r="F24" s="31"/>
      <c r="G24" s="62"/>
      <c r="H24" s="62"/>
      <c r="K24" s="31" t="s">
        <v>15</v>
      </c>
    </row>
    <row r="25" spans="2:11">
      <c r="B25" s="61">
        <v>12</v>
      </c>
      <c r="C25" s="31" t="s">
        <v>16</v>
      </c>
      <c r="D25" s="31" t="s">
        <v>17</v>
      </c>
      <c r="E25" s="31" t="s">
        <v>194</v>
      </c>
      <c r="F25" s="31"/>
      <c r="G25" s="62"/>
      <c r="H25" s="62"/>
      <c r="K25" s="36" t="s">
        <v>17</v>
      </c>
    </row>
    <row r="26" spans="2:11">
      <c r="B26" s="61">
        <v>13</v>
      </c>
      <c r="C26" s="31" t="s">
        <v>393</v>
      </c>
      <c r="D26" s="31" t="s">
        <v>18</v>
      </c>
      <c r="E26" s="31" t="s">
        <v>194</v>
      </c>
      <c r="F26" s="31"/>
      <c r="G26" s="62"/>
      <c r="H26" s="62" t="s">
        <v>394</v>
      </c>
      <c r="K26" s="36" t="s">
        <v>18</v>
      </c>
    </row>
    <row r="27" spans="2:11">
      <c r="B27" s="61">
        <v>14</v>
      </c>
      <c r="C27" s="31" t="s">
        <v>395</v>
      </c>
      <c r="D27" s="31" t="s">
        <v>19</v>
      </c>
      <c r="E27" s="31" t="s">
        <v>194</v>
      </c>
      <c r="F27" s="31"/>
      <c r="G27" s="62"/>
      <c r="H27" s="62" t="s">
        <v>394</v>
      </c>
      <c r="K27" s="36" t="s">
        <v>19</v>
      </c>
    </row>
    <row r="28" spans="2:11">
      <c r="B28" s="61">
        <v>15</v>
      </c>
      <c r="C28" s="31" t="s">
        <v>396</v>
      </c>
      <c r="D28" s="31" t="s">
        <v>20</v>
      </c>
      <c r="E28" s="31" t="s">
        <v>194</v>
      </c>
      <c r="F28" s="31"/>
      <c r="G28" s="62"/>
      <c r="H28" s="62"/>
      <c r="K28" s="36" t="s">
        <v>20</v>
      </c>
    </row>
    <row r="29" spans="2:11">
      <c r="B29" s="61">
        <v>16</v>
      </c>
      <c r="C29" s="31" t="s">
        <v>397</v>
      </c>
      <c r="D29" s="31" t="s">
        <v>21</v>
      </c>
      <c r="E29" s="31" t="s">
        <v>398</v>
      </c>
      <c r="F29" s="31"/>
      <c r="G29" s="62"/>
      <c r="H29" s="62"/>
      <c r="K29" s="36" t="s">
        <v>21</v>
      </c>
    </row>
    <row r="30" spans="2:11">
      <c r="B30" s="61">
        <v>17</v>
      </c>
      <c r="C30" s="31" t="s">
        <v>399</v>
      </c>
      <c r="D30" s="31" t="s">
        <v>22</v>
      </c>
      <c r="E30" s="31" t="s">
        <v>192</v>
      </c>
      <c r="F30" s="31"/>
      <c r="G30" s="62"/>
      <c r="H30" s="62"/>
      <c r="K30" s="36" t="s">
        <v>22</v>
      </c>
    </row>
    <row r="31" spans="2:11">
      <c r="B31" s="61">
        <v>18</v>
      </c>
      <c r="C31" s="31" t="s">
        <v>400</v>
      </c>
      <c r="D31" s="31" t="s">
        <v>23</v>
      </c>
      <c r="E31" s="31" t="s">
        <v>192</v>
      </c>
      <c r="F31" s="31"/>
      <c r="G31" s="62"/>
      <c r="H31" s="62"/>
      <c r="K31" s="31" t="s">
        <v>23</v>
      </c>
    </row>
    <row r="32" spans="2:11">
      <c r="B32" s="61">
        <v>19</v>
      </c>
      <c r="C32" s="31" t="s">
        <v>401</v>
      </c>
      <c r="D32" s="31" t="s">
        <v>24</v>
      </c>
      <c r="E32" s="31" t="s">
        <v>398</v>
      </c>
      <c r="F32" s="31"/>
      <c r="G32" s="62"/>
      <c r="H32" s="62"/>
      <c r="K32" s="31" t="s">
        <v>24</v>
      </c>
    </row>
    <row r="33" spans="2:11">
      <c r="B33" s="61">
        <v>20</v>
      </c>
      <c r="C33" s="31" t="s">
        <v>402</v>
      </c>
      <c r="D33" s="31" t="s">
        <v>25</v>
      </c>
      <c r="E33" s="31" t="s">
        <v>192</v>
      </c>
      <c r="F33" s="31"/>
      <c r="G33" s="62"/>
      <c r="H33" s="62"/>
      <c r="K33" s="31" t="s">
        <v>25</v>
      </c>
    </row>
    <row r="34" spans="2:11">
      <c r="B34" s="61">
        <v>21</v>
      </c>
      <c r="C34" s="31" t="s">
        <v>403</v>
      </c>
      <c r="D34" s="31" t="s">
        <v>26</v>
      </c>
      <c r="E34" s="31" t="s">
        <v>192</v>
      </c>
      <c r="F34" s="31"/>
      <c r="G34" s="62"/>
      <c r="H34" s="62" t="s">
        <v>404</v>
      </c>
      <c r="K34" s="31" t="s">
        <v>26</v>
      </c>
    </row>
    <row r="35" spans="2:11">
      <c r="B35" s="61">
        <v>22</v>
      </c>
      <c r="C35" s="31" t="s">
        <v>405</v>
      </c>
      <c r="D35" s="36" t="s">
        <v>27</v>
      </c>
      <c r="E35" s="31" t="s">
        <v>194</v>
      </c>
      <c r="F35" s="31"/>
      <c r="G35" s="62"/>
      <c r="H35" s="63"/>
      <c r="K35" s="36" t="s">
        <v>27</v>
      </c>
    </row>
    <row r="36" spans="2:11">
      <c r="B36" s="61">
        <v>23</v>
      </c>
      <c r="C36" s="31" t="s">
        <v>28</v>
      </c>
      <c r="D36" s="31" t="s">
        <v>29</v>
      </c>
      <c r="E36" s="31" t="s">
        <v>194</v>
      </c>
      <c r="F36" s="31"/>
      <c r="G36" s="62"/>
      <c r="H36" s="62"/>
      <c r="K36" s="31" t="s">
        <v>29</v>
      </c>
    </row>
    <row r="37" spans="2:11">
      <c r="B37" s="64">
        <v>24</v>
      </c>
      <c r="C37" s="41" t="s">
        <v>406</v>
      </c>
      <c r="D37" s="41" t="s">
        <v>30</v>
      </c>
      <c r="E37" s="41" t="s">
        <v>194</v>
      </c>
      <c r="F37" s="41"/>
      <c r="G37" s="65"/>
      <c r="H37" s="65"/>
      <c r="K37" s="41" t="s">
        <v>30</v>
      </c>
    </row>
    <row r="38" spans="2:11">
      <c r="B38" s="64">
        <v>25</v>
      </c>
      <c r="C38" s="41" t="s">
        <v>31</v>
      </c>
      <c r="D38" s="41" t="s">
        <v>32</v>
      </c>
      <c r="E38" s="41" t="s">
        <v>192</v>
      </c>
      <c r="F38" s="41"/>
      <c r="G38" s="65"/>
      <c r="H38" s="65"/>
      <c r="K38" s="41" t="s">
        <v>32</v>
      </c>
    </row>
    <row r="39" spans="2:11">
      <c r="B39" s="64">
        <v>26</v>
      </c>
      <c r="C39" s="41" t="s">
        <v>407</v>
      </c>
      <c r="D39" s="41" t="s">
        <v>33</v>
      </c>
      <c r="E39" s="41" t="s">
        <v>194</v>
      </c>
      <c r="F39" s="41"/>
      <c r="G39" s="65"/>
      <c r="H39" s="65"/>
      <c r="K39" s="41" t="s">
        <v>33</v>
      </c>
    </row>
    <row r="40" spans="2:11">
      <c r="B40" s="64">
        <v>27</v>
      </c>
      <c r="C40" s="41" t="s">
        <v>408</v>
      </c>
      <c r="D40" s="41" t="s">
        <v>34</v>
      </c>
      <c r="E40" s="41" t="s">
        <v>192</v>
      </c>
      <c r="F40" s="41"/>
      <c r="G40" s="65"/>
      <c r="H40" s="65"/>
      <c r="K40" s="41" t="s">
        <v>34</v>
      </c>
    </row>
    <row r="41" spans="2:11">
      <c r="B41" s="64">
        <v>28</v>
      </c>
      <c r="C41" s="41" t="s">
        <v>35</v>
      </c>
      <c r="D41" s="41" t="s">
        <v>36</v>
      </c>
      <c r="E41" s="41" t="s">
        <v>195</v>
      </c>
      <c r="F41" s="41"/>
      <c r="G41" s="65"/>
      <c r="H41" s="65"/>
      <c r="K41" s="41" t="s">
        <v>36</v>
      </c>
    </row>
    <row r="42" spans="2:11">
      <c r="B42" s="64">
        <v>29</v>
      </c>
      <c r="C42" s="41" t="s">
        <v>37</v>
      </c>
      <c r="D42" s="41" t="s">
        <v>38</v>
      </c>
      <c r="E42" s="41" t="s">
        <v>194</v>
      </c>
      <c r="F42" s="41"/>
      <c r="G42" s="65"/>
      <c r="H42" s="65"/>
      <c r="K42" s="41" t="s">
        <v>38</v>
      </c>
    </row>
    <row r="43" spans="2:11">
      <c r="B43" s="64">
        <v>30</v>
      </c>
      <c r="C43" s="41" t="s">
        <v>39</v>
      </c>
      <c r="D43" s="41" t="s">
        <v>40</v>
      </c>
      <c r="E43" s="41" t="s">
        <v>194</v>
      </c>
      <c r="F43" s="41"/>
      <c r="G43" s="65"/>
      <c r="H43" s="65"/>
      <c r="K43" s="41" t="s">
        <v>40</v>
      </c>
    </row>
    <row r="44" spans="2:11">
      <c r="B44" s="21">
        <v>31</v>
      </c>
      <c r="C44" s="21" t="s">
        <v>41</v>
      </c>
      <c r="D44" s="21" t="s">
        <v>42</v>
      </c>
      <c r="E44" s="21" t="s">
        <v>194</v>
      </c>
      <c r="F44" s="21"/>
      <c r="G44" s="21"/>
      <c r="H44" s="21"/>
      <c r="K44" s="21" t="s">
        <v>42</v>
      </c>
    </row>
    <row r="45" spans="2:11">
      <c r="B45" s="21">
        <v>32</v>
      </c>
      <c r="C45" s="21" t="s">
        <v>43</v>
      </c>
      <c r="D45" s="21" t="s">
        <v>44</v>
      </c>
      <c r="E45" s="21" t="s">
        <v>194</v>
      </c>
      <c r="F45" s="21"/>
      <c r="G45" s="21"/>
      <c r="H45" s="21"/>
      <c r="K45" s="21" t="s">
        <v>44</v>
      </c>
    </row>
    <row r="46" spans="2:11">
      <c r="B46" s="21">
        <v>33</v>
      </c>
      <c r="C46" s="21" t="s">
        <v>45</v>
      </c>
      <c r="D46" s="21" t="s">
        <v>46</v>
      </c>
      <c r="E46" s="21" t="s">
        <v>194</v>
      </c>
      <c r="F46" s="21"/>
      <c r="G46" s="21"/>
      <c r="H46" s="21"/>
      <c r="K46" s="21" t="s">
        <v>46</v>
      </c>
    </row>
    <row r="47" spans="2:11">
      <c r="B47" s="21">
        <v>34</v>
      </c>
      <c r="C47" s="21" t="s">
        <v>47</v>
      </c>
      <c r="D47" s="21" t="s">
        <v>48</v>
      </c>
      <c r="E47" s="21" t="s">
        <v>194</v>
      </c>
      <c r="F47" s="21"/>
      <c r="G47" s="21"/>
      <c r="H47" s="21"/>
      <c r="K47" s="21" t="s">
        <v>48</v>
      </c>
    </row>
    <row r="48" spans="2:11">
      <c r="B48" s="21">
        <v>35</v>
      </c>
      <c r="C48" s="21" t="s">
        <v>409</v>
      </c>
      <c r="D48" s="21" t="s">
        <v>49</v>
      </c>
      <c r="E48" s="21" t="s">
        <v>194</v>
      </c>
      <c r="F48" s="21"/>
      <c r="G48" s="21"/>
      <c r="H48" s="21"/>
      <c r="K48" s="21" t="s">
        <v>49</v>
      </c>
    </row>
    <row r="49" spans="2:11">
      <c r="B49" s="21">
        <v>36</v>
      </c>
      <c r="C49" s="21" t="s">
        <v>50</v>
      </c>
      <c r="D49" s="21" t="s">
        <v>51</v>
      </c>
      <c r="E49" s="21" t="s">
        <v>194</v>
      </c>
      <c r="F49" s="21"/>
      <c r="G49" s="21"/>
      <c r="H49" s="21"/>
      <c r="K49" s="21" t="s">
        <v>51</v>
      </c>
    </row>
    <row r="50" spans="2:11">
      <c r="B50" s="21">
        <v>37</v>
      </c>
      <c r="C50" s="21" t="s">
        <v>52</v>
      </c>
      <c r="D50" s="21" t="s">
        <v>53</v>
      </c>
      <c r="E50" s="21" t="s">
        <v>194</v>
      </c>
      <c r="F50" s="21"/>
      <c r="G50" s="21"/>
      <c r="H50" s="21"/>
      <c r="K50" s="21" t="s">
        <v>53</v>
      </c>
    </row>
    <row r="51" spans="2:11">
      <c r="B51" s="21">
        <v>38</v>
      </c>
      <c r="C51" s="21" t="s">
        <v>54</v>
      </c>
      <c r="D51" s="21" t="s">
        <v>55</v>
      </c>
      <c r="E51" s="21" t="s">
        <v>194</v>
      </c>
      <c r="F51" s="21"/>
      <c r="G51" s="21"/>
      <c r="H51" s="21"/>
      <c r="K51" s="21" t="s">
        <v>55</v>
      </c>
    </row>
    <row r="52" spans="2:11">
      <c r="B52" s="21">
        <v>39</v>
      </c>
      <c r="C52" s="21" t="s">
        <v>56</v>
      </c>
      <c r="D52" s="21" t="s">
        <v>57</v>
      </c>
      <c r="E52" s="21" t="s">
        <v>194</v>
      </c>
      <c r="F52" s="21"/>
      <c r="G52" s="21"/>
      <c r="H52" s="21"/>
      <c r="K52" s="21" t="s">
        <v>57</v>
      </c>
    </row>
    <row r="53" spans="2:11">
      <c r="B53" s="21">
        <v>40</v>
      </c>
      <c r="C53" s="21" t="s">
        <v>58</v>
      </c>
      <c r="D53" s="21" t="s">
        <v>59</v>
      </c>
      <c r="E53" s="21" t="s">
        <v>194</v>
      </c>
      <c r="F53" s="21"/>
      <c r="G53" s="21"/>
      <c r="H53" s="21"/>
      <c r="K53" s="21" t="s">
        <v>59</v>
      </c>
    </row>
    <row r="54" spans="2:11">
      <c r="B54" s="21">
        <v>41</v>
      </c>
      <c r="C54" s="21" t="s">
        <v>60</v>
      </c>
      <c r="D54" s="21" t="s">
        <v>61</v>
      </c>
      <c r="E54" s="21" t="s">
        <v>194</v>
      </c>
      <c r="F54" s="21"/>
      <c r="G54" s="21"/>
      <c r="H54" s="21"/>
      <c r="K54" s="21" t="s">
        <v>61</v>
      </c>
    </row>
    <row r="55" spans="2:11">
      <c r="B55" s="21">
        <v>42</v>
      </c>
      <c r="C55" s="21" t="s">
        <v>62</v>
      </c>
      <c r="D55" s="21" t="s">
        <v>63</v>
      </c>
      <c r="E55" s="21" t="s">
        <v>194</v>
      </c>
      <c r="F55" s="21"/>
      <c r="G55" s="21"/>
      <c r="H55" s="21"/>
      <c r="K55" s="21" t="s">
        <v>63</v>
      </c>
    </row>
    <row r="56" spans="2:11">
      <c r="B56" s="21">
        <v>43</v>
      </c>
      <c r="C56" s="21" t="s">
        <v>64</v>
      </c>
      <c r="D56" s="21" t="s">
        <v>65</v>
      </c>
      <c r="E56" s="21" t="s">
        <v>194</v>
      </c>
      <c r="F56" s="21"/>
      <c r="G56" s="21"/>
      <c r="H56" s="21"/>
      <c r="K56" s="21" t="s">
        <v>65</v>
      </c>
    </row>
    <row r="57" spans="2:11">
      <c r="B57" s="21">
        <v>44</v>
      </c>
      <c r="C57" s="21" t="s">
        <v>66</v>
      </c>
      <c r="D57" s="21" t="s">
        <v>67</v>
      </c>
      <c r="E57" s="21" t="s">
        <v>194</v>
      </c>
      <c r="F57" s="21"/>
      <c r="G57" s="21"/>
      <c r="H57" s="21"/>
      <c r="K57" s="21" t="s">
        <v>67</v>
      </c>
    </row>
    <row r="58" spans="2:11">
      <c r="B58" s="21">
        <v>45</v>
      </c>
      <c r="C58" s="21" t="s">
        <v>410</v>
      </c>
      <c r="D58" s="21" t="s">
        <v>68</v>
      </c>
      <c r="E58" s="21" t="s">
        <v>192</v>
      </c>
      <c r="F58" s="21"/>
      <c r="G58" s="21"/>
      <c r="H58" s="21" t="s">
        <v>411</v>
      </c>
      <c r="K58" s="66" t="s">
        <v>127</v>
      </c>
    </row>
    <row r="59" spans="2:11">
      <c r="B59" s="21">
        <v>46</v>
      </c>
      <c r="C59" s="21" t="s">
        <v>69</v>
      </c>
      <c r="D59" s="21" t="s">
        <v>70</v>
      </c>
      <c r="E59" s="21" t="s">
        <v>192</v>
      </c>
      <c r="F59" s="21" t="s">
        <v>179</v>
      </c>
      <c r="G59" s="21" t="s">
        <v>300</v>
      </c>
      <c r="H59" s="21" t="s">
        <v>180</v>
      </c>
      <c r="K59" s="21" t="s">
        <v>70</v>
      </c>
    </row>
    <row r="60" spans="2:11">
      <c r="B60" s="21">
        <v>47</v>
      </c>
      <c r="C60" s="21" t="s">
        <v>301</v>
      </c>
      <c r="D60" s="21" t="s">
        <v>72</v>
      </c>
      <c r="E60" s="21" t="s">
        <v>192</v>
      </c>
      <c r="F60" s="21" t="s">
        <v>179</v>
      </c>
      <c r="G60" s="21" t="s">
        <v>186</v>
      </c>
      <c r="H60" s="21" t="s">
        <v>180</v>
      </c>
      <c r="K60" s="21" t="s">
        <v>72</v>
      </c>
    </row>
    <row r="61" spans="2:11">
      <c r="B61" s="21">
        <v>48</v>
      </c>
      <c r="C61" s="21" t="s">
        <v>302</v>
      </c>
      <c r="D61" s="21" t="s">
        <v>74</v>
      </c>
      <c r="E61" s="21" t="s">
        <v>294</v>
      </c>
      <c r="F61" s="21" t="s">
        <v>179</v>
      </c>
      <c r="G61" s="21"/>
      <c r="H61" s="21"/>
      <c r="K61" s="21" t="s">
        <v>74</v>
      </c>
    </row>
    <row r="62" spans="2:11">
      <c r="B62" s="21">
        <v>49</v>
      </c>
      <c r="C62" s="21" t="s">
        <v>303</v>
      </c>
      <c r="D62" s="21" t="s">
        <v>76</v>
      </c>
      <c r="E62" s="21" t="s">
        <v>192</v>
      </c>
      <c r="F62" s="21" t="s">
        <v>179</v>
      </c>
      <c r="G62" s="21"/>
      <c r="H62" s="21"/>
      <c r="K62" s="21" t="s">
        <v>76</v>
      </c>
    </row>
    <row r="63" spans="2:11">
      <c r="B63" s="21">
        <v>50</v>
      </c>
      <c r="C63" s="21" t="s">
        <v>304</v>
      </c>
      <c r="D63" s="21" t="s">
        <v>78</v>
      </c>
      <c r="E63" s="21" t="s">
        <v>294</v>
      </c>
      <c r="F63" s="21" t="s">
        <v>179</v>
      </c>
      <c r="G63" s="21" t="s">
        <v>180</v>
      </c>
      <c r="H63" s="21" t="s">
        <v>180</v>
      </c>
      <c r="K63" s="21" t="s">
        <v>78</v>
      </c>
    </row>
    <row r="64" spans="2:11">
      <c r="B64" s="21">
        <v>51</v>
      </c>
      <c r="C64" s="21" t="s">
        <v>305</v>
      </c>
      <c r="D64" s="21" t="s">
        <v>80</v>
      </c>
      <c r="E64" s="21" t="s">
        <v>192</v>
      </c>
      <c r="F64" s="21" t="s">
        <v>179</v>
      </c>
      <c r="G64" s="21"/>
      <c r="H64" s="21"/>
      <c r="K64" s="21" t="s">
        <v>80</v>
      </c>
    </row>
    <row r="65" spans="2:11">
      <c r="B65" s="21">
        <v>52</v>
      </c>
      <c r="C65" s="21" t="s">
        <v>81</v>
      </c>
      <c r="D65" s="21" t="s">
        <v>82</v>
      </c>
      <c r="E65" s="21" t="s">
        <v>194</v>
      </c>
      <c r="F65" s="21"/>
      <c r="G65" s="21" t="s">
        <v>180</v>
      </c>
      <c r="H65" s="21" t="s">
        <v>180</v>
      </c>
      <c r="K65" s="21" t="s">
        <v>82</v>
      </c>
    </row>
    <row r="66" spans="2:11">
      <c r="B66" s="21">
        <v>53</v>
      </c>
      <c r="C66" s="21" t="s">
        <v>83</v>
      </c>
      <c r="D66" s="21" t="s">
        <v>84</v>
      </c>
      <c r="E66" s="21" t="s">
        <v>194</v>
      </c>
      <c r="F66" s="21"/>
      <c r="G66" s="21" t="s">
        <v>180</v>
      </c>
      <c r="H66" s="21" t="s">
        <v>180</v>
      </c>
      <c r="K66" s="21" t="s">
        <v>84</v>
      </c>
    </row>
    <row r="67" spans="2:11">
      <c r="B67" s="21">
        <v>54</v>
      </c>
      <c r="C67" s="21" t="s">
        <v>85</v>
      </c>
      <c r="D67" s="21" t="s">
        <v>86</v>
      </c>
      <c r="E67" s="21" t="s">
        <v>194</v>
      </c>
      <c r="F67" s="21"/>
      <c r="G67" s="21" t="s">
        <v>180</v>
      </c>
      <c r="H67" s="21" t="s">
        <v>180</v>
      </c>
      <c r="K67" s="21" t="s">
        <v>86</v>
      </c>
    </row>
    <row r="68" spans="2:11">
      <c r="B68" s="21">
        <v>55</v>
      </c>
      <c r="C68" s="21" t="s">
        <v>87</v>
      </c>
      <c r="D68" s="21" t="s">
        <v>88</v>
      </c>
      <c r="E68" s="21" t="s">
        <v>194</v>
      </c>
      <c r="F68" s="21"/>
      <c r="G68" s="21" t="s">
        <v>180</v>
      </c>
      <c r="H68" s="21" t="s">
        <v>180</v>
      </c>
      <c r="K68" s="21" t="s">
        <v>88</v>
      </c>
    </row>
    <row r="69" spans="2:11">
      <c r="B69" s="21">
        <v>56</v>
      </c>
      <c r="C69" s="21" t="s">
        <v>89</v>
      </c>
      <c r="D69" s="21" t="s">
        <v>90</v>
      </c>
      <c r="E69" s="21" t="s">
        <v>194</v>
      </c>
      <c r="F69" s="21"/>
      <c r="G69" s="21"/>
      <c r="H69" s="21"/>
      <c r="K69" s="21" t="s">
        <v>90</v>
      </c>
    </row>
    <row r="70" spans="2:11">
      <c r="B70" s="21">
        <v>57</v>
      </c>
      <c r="C70" s="21" t="s">
        <v>306</v>
      </c>
      <c r="D70" s="21" t="s">
        <v>92</v>
      </c>
      <c r="E70" s="21" t="s">
        <v>194</v>
      </c>
      <c r="F70" s="21"/>
      <c r="G70" s="21" t="s">
        <v>180</v>
      </c>
      <c r="H70" s="21" t="s">
        <v>180</v>
      </c>
      <c r="K70" s="21" t="s">
        <v>92</v>
      </c>
    </row>
  </sheetData>
  <phoneticPr fontId="9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uildSQL">
          <controlPr defaultSize="0" autoLine="0" r:id="rId5">
            <anchor moveWithCells="1">
              <from>
                <xdr:col>10</xdr:col>
                <xdr:colOff>0</xdr:colOff>
                <xdr:row>5</xdr:row>
                <xdr:rowOff>76200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17" r:id="rId4" name="Build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K83"/>
  <sheetViews>
    <sheetView tabSelected="1" zoomScaleNormal="100" workbookViewId="0">
      <selection activeCell="K10" sqref="K10"/>
    </sheetView>
  </sheetViews>
  <sheetFormatPr defaultRowHeight="15.75"/>
  <cols>
    <col min="1" max="1" width="2" style="16" customWidth="1"/>
    <col min="2" max="2" width="4" style="16" customWidth="1"/>
    <col min="3" max="3" width="18.21875" style="16" customWidth="1"/>
    <col min="4" max="4" width="16.77734375" style="16" customWidth="1"/>
    <col min="5" max="5" width="13" style="16" customWidth="1"/>
    <col min="6" max="7" width="5.6640625" style="16" customWidth="1"/>
    <col min="8" max="8" width="2.77734375" style="16" customWidth="1"/>
    <col min="9" max="10" width="3.33203125" style="16" customWidth="1"/>
    <col min="11" max="11" width="20" style="16" customWidth="1"/>
    <col min="12" max="16384" width="8.88671875" style="16"/>
  </cols>
  <sheetData>
    <row r="1" spans="2:11" ht="0.75" customHeight="1"/>
    <row r="2" spans="2:11" ht="0.75" customHeight="1"/>
    <row r="3" spans="2:11" ht="0.75" customHeight="1"/>
    <row r="4" spans="2:11" ht="0.75" customHeight="1"/>
    <row r="5" spans="2:11" ht="0.75" customHeight="1"/>
    <row r="7" spans="2:11">
      <c r="B7" s="15" t="s">
        <v>307</v>
      </c>
      <c r="K7" s="15"/>
    </row>
    <row r="8" spans="2:11">
      <c r="B8" s="15"/>
    </row>
    <row r="9" spans="2:11">
      <c r="B9" s="15"/>
      <c r="C9" s="17" t="s">
        <v>308</v>
      </c>
      <c r="D9" s="18" t="s">
        <v>380</v>
      </c>
      <c r="K9" s="19" t="s">
        <v>314</v>
      </c>
    </row>
    <row r="10" spans="2:11">
      <c r="B10" s="15"/>
      <c r="C10" s="17" t="s">
        <v>310</v>
      </c>
      <c r="D10" s="20" t="s">
        <v>381</v>
      </c>
      <c r="E10" s="16" t="s">
        <v>315</v>
      </c>
      <c r="K10" s="50" t="s">
        <v>685</v>
      </c>
    </row>
    <row r="11" spans="2:11">
      <c r="B11" s="15"/>
      <c r="C11" s="17" t="s">
        <v>312</v>
      </c>
      <c r="D11" s="53" t="str">
        <f>D10&amp;"_bk"</f>
        <v>m_company_bk</v>
      </c>
      <c r="K11" s="15"/>
    </row>
    <row r="12" spans="2:11" ht="16.5" thickBot="1"/>
    <row r="13" spans="2:11">
      <c r="B13" s="22" t="s">
        <v>316</v>
      </c>
      <c r="C13" s="23" t="s">
        <v>317</v>
      </c>
      <c r="D13" s="23" t="s">
        <v>174</v>
      </c>
      <c r="E13" s="23" t="s">
        <v>318</v>
      </c>
      <c r="F13" s="23" t="s">
        <v>176</v>
      </c>
      <c r="G13" s="23" t="s">
        <v>177</v>
      </c>
      <c r="H13" s="24" t="s">
        <v>66</v>
      </c>
      <c r="K13" s="25" t="s">
        <v>122</v>
      </c>
    </row>
    <row r="14" spans="2:11">
      <c r="B14" s="9">
        <f t="shared" ref="B14:B77" si="0">ROW()-13</f>
        <v>1</v>
      </c>
      <c r="C14" s="82" t="s">
        <v>562</v>
      </c>
      <c r="D14" s="3" t="s">
        <v>325</v>
      </c>
      <c r="E14" s="4" t="s">
        <v>181</v>
      </c>
      <c r="F14" s="4" t="s">
        <v>179</v>
      </c>
      <c r="G14" s="10" t="s">
        <v>180</v>
      </c>
      <c r="H14" s="73" t="s">
        <v>563</v>
      </c>
      <c r="K14" s="3" t="s">
        <v>647</v>
      </c>
    </row>
    <row r="15" spans="2:11">
      <c r="B15" s="9">
        <f t="shared" si="0"/>
        <v>2</v>
      </c>
      <c r="C15" s="3" t="s">
        <v>2</v>
      </c>
      <c r="D15" s="4" t="s">
        <v>463</v>
      </c>
      <c r="E15" s="4" t="s">
        <v>181</v>
      </c>
      <c r="F15" s="4"/>
      <c r="G15" s="10"/>
      <c r="H15" s="73" t="s">
        <v>564</v>
      </c>
      <c r="K15" s="4" t="s">
        <v>648</v>
      </c>
    </row>
    <row r="16" spans="2:11">
      <c r="B16" s="9">
        <f t="shared" si="0"/>
        <v>3</v>
      </c>
      <c r="C16" s="3" t="s">
        <v>565</v>
      </c>
      <c r="D16" s="4" t="s">
        <v>5</v>
      </c>
      <c r="E16" s="4" t="s">
        <v>192</v>
      </c>
      <c r="F16" s="4"/>
      <c r="G16" s="10" t="s">
        <v>180</v>
      </c>
      <c r="H16" s="73" t="s">
        <v>566</v>
      </c>
      <c r="K16" s="4" t="s">
        <v>5</v>
      </c>
    </row>
    <row r="17" spans="2:11">
      <c r="B17" s="9">
        <f t="shared" si="0"/>
        <v>4</v>
      </c>
      <c r="C17" s="3" t="s">
        <v>567</v>
      </c>
      <c r="D17" s="4" t="s">
        <v>568</v>
      </c>
      <c r="E17" s="4" t="s">
        <v>181</v>
      </c>
      <c r="F17" s="4"/>
      <c r="G17" s="10"/>
      <c r="H17" s="73"/>
      <c r="K17" s="4" t="s">
        <v>649</v>
      </c>
    </row>
    <row r="18" spans="2:11">
      <c r="B18" s="9">
        <f t="shared" si="0"/>
        <v>5</v>
      </c>
      <c r="C18" s="3" t="s">
        <v>569</v>
      </c>
      <c r="D18" s="4" t="s">
        <v>570</v>
      </c>
      <c r="E18" s="4" t="s">
        <v>181</v>
      </c>
      <c r="F18" s="4"/>
      <c r="G18" s="10"/>
      <c r="H18" s="73"/>
      <c r="K18" s="4" t="s">
        <v>650</v>
      </c>
    </row>
    <row r="19" spans="2:11">
      <c r="B19" s="83">
        <f t="shared" si="0"/>
        <v>6</v>
      </c>
      <c r="C19" s="84" t="s">
        <v>571</v>
      </c>
      <c r="D19" s="71" t="s">
        <v>572</v>
      </c>
      <c r="E19" s="85" t="s">
        <v>194</v>
      </c>
      <c r="F19" s="84"/>
      <c r="G19" s="86"/>
      <c r="H19" s="87"/>
      <c r="K19" s="95" t="s">
        <v>124</v>
      </c>
    </row>
    <row r="20" spans="2:11">
      <c r="B20" s="9">
        <f t="shared" si="0"/>
        <v>7</v>
      </c>
      <c r="C20" s="3" t="s">
        <v>8</v>
      </c>
      <c r="D20" s="4" t="s">
        <v>573</v>
      </c>
      <c r="E20" s="4" t="s">
        <v>181</v>
      </c>
      <c r="F20" s="4"/>
      <c r="G20" s="10"/>
      <c r="H20" s="73"/>
      <c r="K20" s="4" t="s">
        <v>651</v>
      </c>
    </row>
    <row r="21" spans="2:11">
      <c r="B21" s="9">
        <f t="shared" si="0"/>
        <v>8</v>
      </c>
      <c r="C21" s="3" t="s">
        <v>574</v>
      </c>
      <c r="D21" s="4" t="s">
        <v>575</v>
      </c>
      <c r="E21" s="4" t="s">
        <v>181</v>
      </c>
      <c r="F21" s="4"/>
      <c r="G21" s="10"/>
      <c r="H21" s="73" t="s">
        <v>576</v>
      </c>
      <c r="K21" s="4" t="s">
        <v>652</v>
      </c>
    </row>
    <row r="22" spans="2:11">
      <c r="B22" s="9">
        <f t="shared" si="0"/>
        <v>9</v>
      </c>
      <c r="C22" s="3" t="s">
        <v>577</v>
      </c>
      <c r="D22" s="4" t="s">
        <v>578</v>
      </c>
      <c r="E22" s="4" t="s">
        <v>183</v>
      </c>
      <c r="F22" s="4"/>
      <c r="G22" s="10"/>
      <c r="H22" s="73" t="s">
        <v>579</v>
      </c>
      <c r="K22" s="4" t="s">
        <v>653</v>
      </c>
    </row>
    <row r="23" spans="2:11">
      <c r="B23" s="9">
        <f t="shared" si="0"/>
        <v>10</v>
      </c>
      <c r="C23" s="3" t="s">
        <v>580</v>
      </c>
      <c r="D23" s="4" t="s">
        <v>581</v>
      </c>
      <c r="E23" s="4" t="s">
        <v>181</v>
      </c>
      <c r="F23" s="4"/>
      <c r="G23" s="10"/>
      <c r="H23" s="73"/>
      <c r="K23" s="4" t="s">
        <v>654</v>
      </c>
    </row>
    <row r="24" spans="2:11">
      <c r="B24" s="9">
        <f t="shared" si="0"/>
        <v>11</v>
      </c>
      <c r="C24" s="3" t="s">
        <v>582</v>
      </c>
      <c r="D24" s="4" t="s">
        <v>583</v>
      </c>
      <c r="E24" s="4" t="s">
        <v>584</v>
      </c>
      <c r="F24" s="4"/>
      <c r="G24" s="10"/>
      <c r="H24" s="73"/>
      <c r="K24" s="4" t="s">
        <v>655</v>
      </c>
    </row>
    <row r="25" spans="2:11">
      <c r="B25" s="9">
        <f t="shared" si="0"/>
        <v>12</v>
      </c>
      <c r="C25" s="3" t="s">
        <v>14</v>
      </c>
      <c r="D25" s="4" t="s">
        <v>585</v>
      </c>
      <c r="E25" s="4" t="s">
        <v>181</v>
      </c>
      <c r="F25" s="4"/>
      <c r="G25" s="10"/>
      <c r="H25" s="73"/>
      <c r="K25" s="4" t="s">
        <v>656</v>
      </c>
    </row>
    <row r="26" spans="2:11">
      <c r="B26" s="9">
        <f t="shared" si="0"/>
        <v>13</v>
      </c>
      <c r="C26" s="3" t="s">
        <v>16</v>
      </c>
      <c r="D26" s="4" t="s">
        <v>586</v>
      </c>
      <c r="E26" s="4" t="s">
        <v>181</v>
      </c>
      <c r="F26" s="4"/>
      <c r="G26" s="10"/>
      <c r="H26" s="73"/>
      <c r="K26" s="4" t="s">
        <v>657</v>
      </c>
    </row>
    <row r="27" spans="2:11">
      <c r="B27" s="9">
        <f t="shared" si="0"/>
        <v>14</v>
      </c>
      <c r="C27" s="3" t="s">
        <v>587</v>
      </c>
      <c r="D27" s="4" t="s">
        <v>488</v>
      </c>
      <c r="E27" s="4" t="s">
        <v>181</v>
      </c>
      <c r="F27" s="4"/>
      <c r="G27" s="10"/>
      <c r="H27" s="73" t="s">
        <v>588</v>
      </c>
      <c r="K27" s="4" t="s">
        <v>658</v>
      </c>
    </row>
    <row r="28" spans="2:11">
      <c r="B28" s="9">
        <f t="shared" si="0"/>
        <v>15</v>
      </c>
      <c r="C28" s="3" t="s">
        <v>589</v>
      </c>
      <c r="D28" s="4" t="s">
        <v>590</v>
      </c>
      <c r="E28" s="4" t="s">
        <v>584</v>
      </c>
      <c r="F28" s="4"/>
      <c r="G28" s="10"/>
      <c r="H28" s="73" t="s">
        <v>588</v>
      </c>
      <c r="K28" s="4" t="s">
        <v>659</v>
      </c>
    </row>
    <row r="29" spans="2:11">
      <c r="B29" s="9">
        <f t="shared" si="0"/>
        <v>16</v>
      </c>
      <c r="C29" s="3" t="s">
        <v>591</v>
      </c>
      <c r="D29" s="4" t="s">
        <v>592</v>
      </c>
      <c r="E29" s="4" t="s">
        <v>181</v>
      </c>
      <c r="F29" s="4"/>
      <c r="G29" s="10"/>
      <c r="H29" s="73"/>
      <c r="K29" s="4" t="s">
        <v>660</v>
      </c>
    </row>
    <row r="30" spans="2:11">
      <c r="B30" s="9">
        <f t="shared" si="0"/>
        <v>17</v>
      </c>
      <c r="C30" s="3" t="s">
        <v>593</v>
      </c>
      <c r="D30" s="4" t="s">
        <v>594</v>
      </c>
      <c r="E30" s="4" t="s">
        <v>595</v>
      </c>
      <c r="F30" s="4"/>
      <c r="G30" s="10"/>
      <c r="H30" s="73"/>
      <c r="K30" s="4" t="s">
        <v>661</v>
      </c>
    </row>
    <row r="31" spans="2:11">
      <c r="B31" s="88">
        <f t="shared" si="0"/>
        <v>18</v>
      </c>
      <c r="C31" s="89" t="s">
        <v>596</v>
      </c>
      <c r="D31" s="28" t="s">
        <v>554</v>
      </c>
      <c r="E31" s="90" t="s">
        <v>597</v>
      </c>
      <c r="F31" s="89"/>
      <c r="G31" s="86"/>
      <c r="H31" s="87"/>
      <c r="K31" s="95" t="s">
        <v>124</v>
      </c>
    </row>
    <row r="32" spans="2:11">
      <c r="B32" s="88">
        <f t="shared" si="0"/>
        <v>19</v>
      </c>
      <c r="C32" s="89" t="s">
        <v>598</v>
      </c>
      <c r="D32" s="28" t="s">
        <v>555</v>
      </c>
      <c r="E32" s="90" t="s">
        <v>192</v>
      </c>
      <c r="F32" s="89"/>
      <c r="G32" s="86"/>
      <c r="H32" s="87"/>
      <c r="K32" s="95" t="s">
        <v>124</v>
      </c>
    </row>
    <row r="33" spans="2:11">
      <c r="B33" s="88">
        <f t="shared" si="0"/>
        <v>20</v>
      </c>
      <c r="C33" s="89" t="s">
        <v>599</v>
      </c>
      <c r="D33" s="28" t="s">
        <v>556</v>
      </c>
      <c r="E33" s="90" t="s">
        <v>192</v>
      </c>
      <c r="F33" s="89"/>
      <c r="G33" s="86"/>
      <c r="H33" s="87"/>
      <c r="K33" s="95" t="s">
        <v>124</v>
      </c>
    </row>
    <row r="34" spans="2:11">
      <c r="B34" s="9">
        <f t="shared" si="0"/>
        <v>21</v>
      </c>
      <c r="C34" s="3" t="s">
        <v>600</v>
      </c>
      <c r="D34" s="4" t="s">
        <v>601</v>
      </c>
      <c r="E34" s="4" t="s">
        <v>183</v>
      </c>
      <c r="F34" s="4"/>
      <c r="G34" s="10"/>
      <c r="H34" s="73"/>
      <c r="K34" s="4" t="s">
        <v>662</v>
      </c>
    </row>
    <row r="35" spans="2:11">
      <c r="B35" s="9">
        <f t="shared" si="0"/>
        <v>22</v>
      </c>
      <c r="C35" s="3" t="s">
        <v>602</v>
      </c>
      <c r="D35" s="4" t="s">
        <v>603</v>
      </c>
      <c r="E35" s="4" t="s">
        <v>183</v>
      </c>
      <c r="F35" s="4"/>
      <c r="G35" s="10"/>
      <c r="H35" s="73"/>
      <c r="K35" s="4" t="s">
        <v>663</v>
      </c>
    </row>
    <row r="36" spans="2:11">
      <c r="B36" s="9">
        <f t="shared" si="0"/>
        <v>23</v>
      </c>
      <c r="C36" s="3" t="s">
        <v>604</v>
      </c>
      <c r="D36" s="4" t="s">
        <v>605</v>
      </c>
      <c r="E36" s="4" t="s">
        <v>595</v>
      </c>
      <c r="F36" s="4"/>
      <c r="G36" s="10"/>
      <c r="H36" s="73"/>
      <c r="K36" s="4" t="s">
        <v>664</v>
      </c>
    </row>
    <row r="37" spans="2:11">
      <c r="B37" s="88">
        <f t="shared" si="0"/>
        <v>24</v>
      </c>
      <c r="C37" s="89" t="s">
        <v>606</v>
      </c>
      <c r="D37" s="28" t="s">
        <v>557</v>
      </c>
      <c r="E37" s="90" t="s">
        <v>607</v>
      </c>
      <c r="F37" s="89"/>
      <c r="G37" s="86"/>
      <c r="H37" s="87"/>
      <c r="K37" s="95" t="s">
        <v>124</v>
      </c>
    </row>
    <row r="38" spans="2:11">
      <c r="B38" s="9">
        <f t="shared" si="0"/>
        <v>25</v>
      </c>
      <c r="C38" s="3" t="s">
        <v>608</v>
      </c>
      <c r="D38" s="4" t="s">
        <v>609</v>
      </c>
      <c r="E38" s="4" t="s">
        <v>610</v>
      </c>
      <c r="F38" s="4"/>
      <c r="G38" s="10"/>
      <c r="H38" s="73"/>
      <c r="K38" s="4" t="s">
        <v>665</v>
      </c>
    </row>
    <row r="39" spans="2:11">
      <c r="B39" s="88">
        <f t="shared" si="0"/>
        <v>26</v>
      </c>
      <c r="C39" s="89" t="s">
        <v>611</v>
      </c>
      <c r="D39" s="28" t="s">
        <v>558</v>
      </c>
      <c r="E39" s="90" t="s">
        <v>597</v>
      </c>
      <c r="F39" s="89"/>
      <c r="G39" s="86"/>
      <c r="H39" s="87"/>
      <c r="K39" s="95" t="s">
        <v>124</v>
      </c>
    </row>
    <row r="40" spans="2:11">
      <c r="B40" s="9">
        <f t="shared" si="0"/>
        <v>27</v>
      </c>
      <c r="C40" s="3" t="s">
        <v>612</v>
      </c>
      <c r="D40" s="4" t="s">
        <v>613</v>
      </c>
      <c r="E40" s="4" t="s">
        <v>183</v>
      </c>
      <c r="F40" s="4"/>
      <c r="G40" s="10"/>
      <c r="H40" s="73" t="s">
        <v>614</v>
      </c>
      <c r="K40" s="4" t="s">
        <v>666</v>
      </c>
    </row>
    <row r="41" spans="2:11">
      <c r="B41" s="88">
        <f t="shared" si="0"/>
        <v>28</v>
      </c>
      <c r="C41" s="89" t="s">
        <v>615</v>
      </c>
      <c r="D41" s="28" t="s">
        <v>559</v>
      </c>
      <c r="E41" s="90" t="s">
        <v>597</v>
      </c>
      <c r="F41" s="89"/>
      <c r="G41" s="86"/>
      <c r="H41" s="87"/>
      <c r="K41" s="95" t="s">
        <v>124</v>
      </c>
    </row>
    <row r="42" spans="2:11">
      <c r="B42" s="9">
        <f t="shared" si="0"/>
        <v>29</v>
      </c>
      <c r="C42" s="3" t="s">
        <v>616</v>
      </c>
      <c r="D42" s="4" t="s">
        <v>617</v>
      </c>
      <c r="E42" s="4" t="s">
        <v>181</v>
      </c>
      <c r="F42" s="4"/>
      <c r="G42" s="10"/>
      <c r="H42" s="73"/>
      <c r="K42" s="4" t="s">
        <v>667</v>
      </c>
    </row>
    <row r="43" spans="2:11">
      <c r="B43" s="9">
        <f t="shared" si="0"/>
        <v>30</v>
      </c>
      <c r="C43" s="3" t="s">
        <v>28</v>
      </c>
      <c r="D43" s="4" t="s">
        <v>618</v>
      </c>
      <c r="E43" s="4" t="s">
        <v>194</v>
      </c>
      <c r="F43" s="4"/>
      <c r="G43" s="10"/>
      <c r="H43" s="73"/>
      <c r="K43" s="4" t="s">
        <v>668</v>
      </c>
    </row>
    <row r="44" spans="2:11">
      <c r="B44" s="88">
        <f t="shared" si="0"/>
        <v>31</v>
      </c>
      <c r="C44" s="89" t="s">
        <v>619</v>
      </c>
      <c r="D44" s="89" t="s">
        <v>620</v>
      </c>
      <c r="E44" s="90" t="s">
        <v>192</v>
      </c>
      <c r="F44" s="89"/>
      <c r="G44" s="86"/>
      <c r="H44" s="87"/>
      <c r="K44" s="95" t="s">
        <v>124</v>
      </c>
    </row>
    <row r="45" spans="2:11">
      <c r="B45" s="88">
        <f t="shared" si="0"/>
        <v>32</v>
      </c>
      <c r="C45" s="89" t="s">
        <v>560</v>
      </c>
      <c r="D45" s="89" t="s">
        <v>621</v>
      </c>
      <c r="E45" s="90" t="s">
        <v>192</v>
      </c>
      <c r="F45" s="89"/>
      <c r="G45" s="86"/>
      <c r="H45" s="87"/>
      <c r="K45" s="95" t="s">
        <v>124</v>
      </c>
    </row>
    <row r="46" spans="2:11">
      <c r="B46" s="88">
        <f t="shared" si="0"/>
        <v>33</v>
      </c>
      <c r="C46" s="89" t="s">
        <v>561</v>
      </c>
      <c r="D46" s="89" t="s">
        <v>622</v>
      </c>
      <c r="E46" s="90" t="s">
        <v>192</v>
      </c>
      <c r="F46" s="89"/>
      <c r="G46" s="86"/>
      <c r="H46" s="87"/>
      <c r="K46" s="95" t="s">
        <v>124</v>
      </c>
    </row>
    <row r="47" spans="2:11">
      <c r="B47" s="88">
        <f t="shared" si="0"/>
        <v>34</v>
      </c>
      <c r="C47" s="89" t="s">
        <v>623</v>
      </c>
      <c r="D47" s="89" t="s">
        <v>624</v>
      </c>
      <c r="E47" s="90" t="s">
        <v>192</v>
      </c>
      <c r="F47" s="89"/>
      <c r="G47" s="86"/>
      <c r="H47" s="87"/>
      <c r="K47" s="95" t="s">
        <v>124</v>
      </c>
    </row>
    <row r="48" spans="2:11">
      <c r="B48" s="88">
        <f t="shared" si="0"/>
        <v>35</v>
      </c>
      <c r="C48" s="89" t="s">
        <v>625</v>
      </c>
      <c r="D48" s="89" t="s">
        <v>626</v>
      </c>
      <c r="E48" s="90" t="s">
        <v>192</v>
      </c>
      <c r="F48" s="89"/>
      <c r="G48" s="86"/>
      <c r="H48" s="87"/>
      <c r="K48" s="95" t="s">
        <v>124</v>
      </c>
    </row>
    <row r="49" spans="2:11">
      <c r="B49" s="88">
        <f t="shared" si="0"/>
        <v>36</v>
      </c>
      <c r="C49" s="89" t="s">
        <v>627</v>
      </c>
      <c r="D49" s="89" t="s">
        <v>628</v>
      </c>
      <c r="E49" s="90" t="s">
        <v>192</v>
      </c>
      <c r="F49" s="89"/>
      <c r="G49" s="86"/>
      <c r="H49" s="87"/>
      <c r="K49" s="95" t="s">
        <v>124</v>
      </c>
    </row>
    <row r="50" spans="2:11">
      <c r="B50" s="9">
        <f t="shared" si="0"/>
        <v>37</v>
      </c>
      <c r="C50" s="3" t="s">
        <v>629</v>
      </c>
      <c r="D50" s="4" t="s">
        <v>630</v>
      </c>
      <c r="E50" s="4" t="s">
        <v>631</v>
      </c>
      <c r="F50" s="4"/>
      <c r="G50" s="10"/>
      <c r="H50" s="73"/>
      <c r="K50" s="4" t="s">
        <v>669</v>
      </c>
    </row>
    <row r="51" spans="2:11">
      <c r="B51" s="9">
        <f t="shared" si="0"/>
        <v>38</v>
      </c>
      <c r="C51" s="3" t="s">
        <v>31</v>
      </c>
      <c r="D51" s="4" t="s">
        <v>632</v>
      </c>
      <c r="E51" s="4" t="s">
        <v>183</v>
      </c>
      <c r="F51" s="4"/>
      <c r="G51" s="10"/>
      <c r="H51" s="73"/>
      <c r="K51" s="4" t="s">
        <v>670</v>
      </c>
    </row>
    <row r="52" spans="2:11">
      <c r="B52" s="9">
        <f t="shared" si="0"/>
        <v>39</v>
      </c>
      <c r="C52" s="3" t="s">
        <v>633</v>
      </c>
      <c r="D52" s="4" t="s">
        <v>634</v>
      </c>
      <c r="E52" s="4" t="s">
        <v>181</v>
      </c>
      <c r="F52" s="4"/>
      <c r="G52" s="10"/>
      <c r="H52" s="73"/>
      <c r="K52" s="4" t="s">
        <v>671</v>
      </c>
    </row>
    <row r="53" spans="2:11">
      <c r="B53" s="9">
        <f t="shared" si="0"/>
        <v>40</v>
      </c>
      <c r="C53" s="3" t="s">
        <v>635</v>
      </c>
      <c r="D53" s="4" t="s">
        <v>636</v>
      </c>
      <c r="E53" s="4" t="s">
        <v>183</v>
      </c>
      <c r="F53" s="4"/>
      <c r="G53" s="10"/>
      <c r="H53" s="73"/>
      <c r="K53" s="4" t="s">
        <v>672</v>
      </c>
    </row>
    <row r="54" spans="2:11">
      <c r="B54" s="9">
        <f t="shared" si="0"/>
        <v>41</v>
      </c>
      <c r="C54" s="3" t="s">
        <v>35</v>
      </c>
      <c r="D54" s="4" t="s">
        <v>637</v>
      </c>
      <c r="E54" s="4" t="s">
        <v>638</v>
      </c>
      <c r="F54" s="4"/>
      <c r="G54" s="10"/>
      <c r="H54" s="73"/>
      <c r="K54" s="4" t="s">
        <v>673</v>
      </c>
    </row>
    <row r="55" spans="2:11">
      <c r="B55" s="9">
        <f t="shared" si="0"/>
        <v>42</v>
      </c>
      <c r="C55" s="3" t="s">
        <v>37</v>
      </c>
      <c r="D55" s="4" t="s">
        <v>639</v>
      </c>
      <c r="E55" s="4" t="s">
        <v>181</v>
      </c>
      <c r="F55" s="4"/>
      <c r="G55" s="10"/>
      <c r="H55" s="73"/>
      <c r="K55" s="4" t="s">
        <v>674</v>
      </c>
    </row>
    <row r="56" spans="2:11">
      <c r="B56" s="9">
        <f t="shared" si="0"/>
        <v>43</v>
      </c>
      <c r="C56" s="3" t="s">
        <v>39</v>
      </c>
      <c r="D56" s="4" t="s">
        <v>640</v>
      </c>
      <c r="E56" s="4" t="s">
        <v>631</v>
      </c>
      <c r="F56" s="4"/>
      <c r="G56" s="10"/>
      <c r="H56" s="73"/>
      <c r="K56" s="4" t="s">
        <v>675</v>
      </c>
    </row>
    <row r="57" spans="2:11">
      <c r="B57" s="9">
        <f t="shared" si="0"/>
        <v>44</v>
      </c>
      <c r="C57" s="3" t="s">
        <v>41</v>
      </c>
      <c r="D57" s="4" t="s">
        <v>641</v>
      </c>
      <c r="E57" s="4" t="s">
        <v>181</v>
      </c>
      <c r="F57" s="4"/>
      <c r="G57" s="10"/>
      <c r="H57" s="73"/>
      <c r="K57" s="4" t="s">
        <v>676</v>
      </c>
    </row>
    <row r="58" spans="2:11">
      <c r="B58" s="91">
        <f t="shared" si="0"/>
        <v>45</v>
      </c>
      <c r="C58" s="3" t="s">
        <v>43</v>
      </c>
      <c r="D58" s="4" t="s">
        <v>44</v>
      </c>
      <c r="E58" s="4" t="s">
        <v>194</v>
      </c>
      <c r="F58" s="4"/>
      <c r="G58" s="10"/>
      <c r="H58" s="73"/>
      <c r="K58" s="4" t="s">
        <v>44</v>
      </c>
    </row>
    <row r="59" spans="2:11">
      <c r="B59" s="91">
        <f t="shared" si="0"/>
        <v>46</v>
      </c>
      <c r="C59" s="3" t="s">
        <v>45</v>
      </c>
      <c r="D59" s="4" t="s">
        <v>46</v>
      </c>
      <c r="E59" s="4" t="s">
        <v>194</v>
      </c>
      <c r="F59" s="4"/>
      <c r="G59" s="10"/>
      <c r="H59" s="73"/>
      <c r="K59" s="4" t="s">
        <v>46</v>
      </c>
    </row>
    <row r="60" spans="2:11">
      <c r="B60" s="91">
        <f t="shared" si="0"/>
        <v>47</v>
      </c>
      <c r="C60" s="3" t="s">
        <v>47</v>
      </c>
      <c r="D60" s="4" t="s">
        <v>48</v>
      </c>
      <c r="E60" s="4" t="s">
        <v>194</v>
      </c>
      <c r="F60" s="4"/>
      <c r="G60" s="10"/>
      <c r="H60" s="73"/>
      <c r="K60" s="4" t="s">
        <v>48</v>
      </c>
    </row>
    <row r="61" spans="2:11">
      <c r="B61" s="91">
        <f t="shared" si="0"/>
        <v>48</v>
      </c>
      <c r="C61" s="3" t="s">
        <v>642</v>
      </c>
      <c r="D61" s="4" t="s">
        <v>49</v>
      </c>
      <c r="E61" s="4" t="s">
        <v>194</v>
      </c>
      <c r="F61" s="4"/>
      <c r="G61" s="10"/>
      <c r="H61" s="73"/>
      <c r="K61" s="4" t="s">
        <v>49</v>
      </c>
    </row>
    <row r="62" spans="2:11">
      <c r="B62" s="91">
        <f t="shared" si="0"/>
        <v>49</v>
      </c>
      <c r="C62" s="3" t="s">
        <v>50</v>
      </c>
      <c r="D62" s="4" t="s">
        <v>51</v>
      </c>
      <c r="E62" s="4" t="s">
        <v>181</v>
      </c>
      <c r="F62" s="4"/>
      <c r="G62" s="10"/>
      <c r="H62" s="73"/>
      <c r="K62" s="4" t="s">
        <v>51</v>
      </c>
    </row>
    <row r="63" spans="2:11">
      <c r="B63" s="91">
        <f t="shared" si="0"/>
        <v>50</v>
      </c>
      <c r="C63" s="3" t="s">
        <v>52</v>
      </c>
      <c r="D63" s="4" t="s">
        <v>53</v>
      </c>
      <c r="E63" s="4" t="s">
        <v>181</v>
      </c>
      <c r="F63" s="4"/>
      <c r="G63" s="10"/>
      <c r="H63" s="73"/>
      <c r="K63" s="4" t="s">
        <v>53</v>
      </c>
    </row>
    <row r="64" spans="2:11">
      <c r="B64" s="91">
        <f t="shared" si="0"/>
        <v>51</v>
      </c>
      <c r="C64" s="3" t="s">
        <v>54</v>
      </c>
      <c r="D64" s="4" t="s">
        <v>55</v>
      </c>
      <c r="E64" s="4" t="s">
        <v>181</v>
      </c>
      <c r="F64" s="4"/>
      <c r="G64" s="10"/>
      <c r="H64" s="73"/>
      <c r="K64" s="4" t="s">
        <v>55</v>
      </c>
    </row>
    <row r="65" spans="2:11">
      <c r="B65" s="91">
        <f t="shared" si="0"/>
        <v>52</v>
      </c>
      <c r="C65" s="3" t="s">
        <v>56</v>
      </c>
      <c r="D65" s="4" t="s">
        <v>57</v>
      </c>
      <c r="E65" s="4" t="s">
        <v>631</v>
      </c>
      <c r="F65" s="4"/>
      <c r="G65" s="10"/>
      <c r="H65" s="73"/>
      <c r="K65" s="4" t="s">
        <v>57</v>
      </c>
    </row>
    <row r="66" spans="2:11">
      <c r="B66" s="91">
        <f t="shared" si="0"/>
        <v>53</v>
      </c>
      <c r="C66" s="3" t="s">
        <v>58</v>
      </c>
      <c r="D66" s="4" t="s">
        <v>59</v>
      </c>
      <c r="E66" s="4" t="s">
        <v>181</v>
      </c>
      <c r="F66" s="4"/>
      <c r="G66" s="10"/>
      <c r="H66" s="73"/>
      <c r="K66" s="4" t="s">
        <v>59</v>
      </c>
    </row>
    <row r="67" spans="2:11">
      <c r="B67" s="91">
        <f t="shared" si="0"/>
        <v>54</v>
      </c>
      <c r="C67" s="3" t="s">
        <v>60</v>
      </c>
      <c r="D67" s="4" t="s">
        <v>61</v>
      </c>
      <c r="E67" s="4" t="s">
        <v>181</v>
      </c>
      <c r="F67" s="4"/>
      <c r="G67" s="10"/>
      <c r="H67" s="73"/>
      <c r="K67" s="4" t="s">
        <v>61</v>
      </c>
    </row>
    <row r="68" spans="2:11">
      <c r="B68" s="91">
        <f t="shared" si="0"/>
        <v>55</v>
      </c>
      <c r="C68" s="3" t="s">
        <v>62</v>
      </c>
      <c r="D68" s="4" t="s">
        <v>63</v>
      </c>
      <c r="E68" s="4" t="s">
        <v>181</v>
      </c>
      <c r="F68" s="4"/>
      <c r="G68" s="10"/>
      <c r="H68" s="73"/>
      <c r="K68" s="4" t="s">
        <v>63</v>
      </c>
    </row>
    <row r="69" spans="2:11">
      <c r="B69" s="91">
        <f t="shared" si="0"/>
        <v>56</v>
      </c>
      <c r="C69" s="3" t="s">
        <v>64</v>
      </c>
      <c r="D69" s="4" t="s">
        <v>643</v>
      </c>
      <c r="E69" s="4" t="s">
        <v>181</v>
      </c>
      <c r="F69" s="4"/>
      <c r="G69" s="10"/>
      <c r="H69" s="73"/>
      <c r="K69" s="4" t="s">
        <v>677</v>
      </c>
    </row>
    <row r="70" spans="2:11">
      <c r="B70" s="9">
        <f t="shared" si="0"/>
        <v>57</v>
      </c>
      <c r="C70" s="3" t="s">
        <v>66</v>
      </c>
      <c r="D70" s="4" t="s">
        <v>171</v>
      </c>
      <c r="E70" s="4" t="s">
        <v>181</v>
      </c>
      <c r="F70" s="4"/>
      <c r="G70" s="10"/>
      <c r="H70" s="73"/>
      <c r="K70" s="4" t="s">
        <v>678</v>
      </c>
    </row>
    <row r="71" spans="2:11">
      <c r="B71" s="92">
        <f t="shared" si="0"/>
        <v>58</v>
      </c>
      <c r="C71" s="75" t="s">
        <v>644</v>
      </c>
      <c r="D71" s="76" t="s">
        <v>645</v>
      </c>
      <c r="E71" s="4" t="s">
        <v>192</v>
      </c>
      <c r="F71" s="4"/>
      <c r="G71" s="77"/>
      <c r="H71" s="93"/>
      <c r="K71" s="76" t="s">
        <v>679</v>
      </c>
    </row>
    <row r="72" spans="2:11">
      <c r="B72" s="9">
        <f t="shared" si="0"/>
        <v>59</v>
      </c>
      <c r="C72" s="4" t="s">
        <v>112</v>
      </c>
      <c r="D72" s="4" t="s">
        <v>70</v>
      </c>
      <c r="E72" s="4" t="s">
        <v>192</v>
      </c>
      <c r="F72" s="4" t="s">
        <v>179</v>
      </c>
      <c r="G72" s="10" t="s">
        <v>300</v>
      </c>
      <c r="H72" s="73" t="s">
        <v>180</v>
      </c>
      <c r="K72" s="4" t="s">
        <v>70</v>
      </c>
    </row>
    <row r="73" spans="2:11">
      <c r="B73" s="9">
        <f t="shared" si="0"/>
        <v>60</v>
      </c>
      <c r="C73" s="4" t="s">
        <v>71</v>
      </c>
      <c r="D73" s="4" t="s">
        <v>120</v>
      </c>
      <c r="E73" s="4" t="s">
        <v>192</v>
      </c>
      <c r="F73" s="4" t="s">
        <v>179</v>
      </c>
      <c r="G73" s="10" t="s">
        <v>338</v>
      </c>
      <c r="H73" s="73" t="s">
        <v>180</v>
      </c>
      <c r="K73" s="4" t="s">
        <v>680</v>
      </c>
    </row>
    <row r="74" spans="2:11">
      <c r="B74" s="9">
        <f t="shared" si="0"/>
        <v>61</v>
      </c>
      <c r="C74" s="4" t="s">
        <v>73</v>
      </c>
      <c r="D74" s="4" t="s">
        <v>113</v>
      </c>
      <c r="E74" s="4" t="s">
        <v>294</v>
      </c>
      <c r="F74" s="4" t="s">
        <v>179</v>
      </c>
      <c r="G74" s="10"/>
      <c r="H74" s="73"/>
      <c r="K74" s="4" t="s">
        <v>113</v>
      </c>
    </row>
    <row r="75" spans="2:11">
      <c r="B75" s="9">
        <f t="shared" si="0"/>
        <v>62</v>
      </c>
      <c r="C75" s="4" t="s">
        <v>75</v>
      </c>
      <c r="D75" s="4" t="s">
        <v>121</v>
      </c>
      <c r="E75" s="4" t="s">
        <v>192</v>
      </c>
      <c r="F75" s="4" t="s">
        <v>179</v>
      </c>
      <c r="G75" s="10"/>
      <c r="H75" s="73"/>
      <c r="K75" s="4" t="s">
        <v>681</v>
      </c>
    </row>
    <row r="76" spans="2:11">
      <c r="B76" s="9">
        <f t="shared" si="0"/>
        <v>63</v>
      </c>
      <c r="C76" s="4" t="s">
        <v>77</v>
      </c>
      <c r="D76" s="4" t="s">
        <v>114</v>
      </c>
      <c r="E76" s="4" t="s">
        <v>294</v>
      </c>
      <c r="F76" s="4" t="s">
        <v>179</v>
      </c>
      <c r="G76" s="10" t="s">
        <v>180</v>
      </c>
      <c r="H76" s="73" t="s">
        <v>180</v>
      </c>
      <c r="K76" s="4" t="s">
        <v>682</v>
      </c>
    </row>
    <row r="77" spans="2:11">
      <c r="B77" s="9">
        <f t="shared" si="0"/>
        <v>64</v>
      </c>
      <c r="C77" s="4" t="s">
        <v>79</v>
      </c>
      <c r="D77" s="4" t="s">
        <v>349</v>
      </c>
      <c r="E77" s="4" t="s">
        <v>192</v>
      </c>
      <c r="F77" s="4" t="s">
        <v>179</v>
      </c>
      <c r="G77" s="10"/>
      <c r="H77" s="73"/>
      <c r="K77" s="4" t="s">
        <v>683</v>
      </c>
    </row>
    <row r="78" spans="2:11">
      <c r="B78" s="9">
        <f t="shared" ref="B78:B83" si="1">ROW()-13</f>
        <v>65</v>
      </c>
      <c r="C78" s="4" t="s">
        <v>81</v>
      </c>
      <c r="D78" s="4" t="s">
        <v>82</v>
      </c>
      <c r="E78" s="4" t="s">
        <v>194</v>
      </c>
      <c r="F78" s="4"/>
      <c r="G78" s="10" t="s">
        <v>180</v>
      </c>
      <c r="H78" s="73" t="s">
        <v>180</v>
      </c>
      <c r="K78" s="4" t="s">
        <v>82</v>
      </c>
    </row>
    <row r="79" spans="2:11">
      <c r="B79" s="9">
        <f t="shared" si="1"/>
        <v>66</v>
      </c>
      <c r="C79" s="4" t="s">
        <v>83</v>
      </c>
      <c r="D79" s="4" t="s">
        <v>84</v>
      </c>
      <c r="E79" s="4" t="s">
        <v>194</v>
      </c>
      <c r="F79" s="4"/>
      <c r="G79" s="10" t="s">
        <v>180</v>
      </c>
      <c r="H79" s="73" t="s">
        <v>180</v>
      </c>
      <c r="K79" s="4" t="s">
        <v>84</v>
      </c>
    </row>
    <row r="80" spans="2:11">
      <c r="B80" s="9">
        <f t="shared" si="1"/>
        <v>67</v>
      </c>
      <c r="C80" s="4" t="s">
        <v>85</v>
      </c>
      <c r="D80" s="4" t="s">
        <v>86</v>
      </c>
      <c r="E80" s="4" t="s">
        <v>194</v>
      </c>
      <c r="F80" s="4"/>
      <c r="G80" s="10" t="s">
        <v>180</v>
      </c>
      <c r="H80" s="73" t="s">
        <v>180</v>
      </c>
      <c r="K80" s="4" t="s">
        <v>86</v>
      </c>
    </row>
    <row r="81" spans="2:11">
      <c r="B81" s="9">
        <f t="shared" si="1"/>
        <v>68</v>
      </c>
      <c r="C81" s="4" t="s">
        <v>87</v>
      </c>
      <c r="D81" s="4" t="s">
        <v>88</v>
      </c>
      <c r="E81" s="4" t="s">
        <v>194</v>
      </c>
      <c r="F81" s="4"/>
      <c r="G81" s="10" t="s">
        <v>180</v>
      </c>
      <c r="H81" s="73" t="s">
        <v>180</v>
      </c>
      <c r="K81" s="4" t="s">
        <v>88</v>
      </c>
    </row>
    <row r="82" spans="2:11">
      <c r="B82" s="94">
        <f t="shared" si="1"/>
        <v>69</v>
      </c>
      <c r="C82" s="5" t="s">
        <v>89</v>
      </c>
      <c r="D82" s="5" t="s">
        <v>90</v>
      </c>
      <c r="E82" s="5" t="s">
        <v>194</v>
      </c>
      <c r="F82" s="5"/>
      <c r="G82" s="12"/>
      <c r="H82" s="80"/>
      <c r="K82" s="5" t="s">
        <v>90</v>
      </c>
    </row>
    <row r="83" spans="2:11" ht="16.5" thickBot="1">
      <c r="B83" s="13">
        <f t="shared" si="1"/>
        <v>70</v>
      </c>
      <c r="C83" s="6" t="s">
        <v>91</v>
      </c>
      <c r="D83" s="6" t="s">
        <v>646</v>
      </c>
      <c r="E83" s="6" t="s">
        <v>194</v>
      </c>
      <c r="F83" s="6"/>
      <c r="G83" s="14" t="s">
        <v>180</v>
      </c>
      <c r="H83" s="81" t="s">
        <v>180</v>
      </c>
      <c r="K83" s="6" t="s">
        <v>684</v>
      </c>
    </row>
  </sheetData>
  <phoneticPr fontId="9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BuildSQL">
          <controlPr defaultSize="0" autoLine="0" r:id="rId5">
            <anchor moveWithCells="1">
              <from>
                <xdr:col>10</xdr:col>
                <xdr:colOff>0</xdr:colOff>
                <xdr:row>5</xdr:row>
                <xdr:rowOff>76200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9457" r:id="rId4" name="BuildSQ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K47"/>
  <sheetViews>
    <sheetView zoomScaleNormal="100" workbookViewId="0">
      <selection activeCell="K10" sqref="K10"/>
    </sheetView>
  </sheetViews>
  <sheetFormatPr defaultRowHeight="15.75"/>
  <cols>
    <col min="1" max="1" width="2" style="16" customWidth="1"/>
    <col min="2" max="2" width="4" style="16" customWidth="1"/>
    <col min="3" max="3" width="18.21875" style="16" customWidth="1"/>
    <col min="4" max="4" width="19.88671875" style="16" customWidth="1"/>
    <col min="5" max="5" width="13" style="16" customWidth="1"/>
    <col min="6" max="7" width="5.6640625" style="16" customWidth="1"/>
    <col min="8" max="8" width="2.77734375" style="16" customWidth="1"/>
    <col min="9" max="10" width="3.33203125" style="16" customWidth="1"/>
    <col min="11" max="11" width="20" style="16" customWidth="1"/>
    <col min="12" max="16384" width="8.88671875" style="16"/>
  </cols>
  <sheetData>
    <row r="1" spans="2:11" ht="0.75" customHeight="1">
      <c r="H1" s="54"/>
    </row>
    <row r="2" spans="2:11" ht="0.75" customHeight="1">
      <c r="H2" s="54"/>
    </row>
    <row r="3" spans="2:11" ht="0.75" customHeight="1">
      <c r="H3" s="54"/>
    </row>
    <row r="4" spans="2:11" ht="0.75" customHeight="1">
      <c r="H4" s="54"/>
    </row>
    <row r="5" spans="2:11" ht="0.75" customHeight="1">
      <c r="H5" s="54"/>
    </row>
    <row r="6" spans="2:11">
      <c r="H6" s="54"/>
    </row>
    <row r="7" spans="2:11">
      <c r="B7" s="15" t="s">
        <v>307</v>
      </c>
      <c r="H7" s="54"/>
      <c r="K7" s="15"/>
    </row>
    <row r="8" spans="2:11">
      <c r="B8" s="15"/>
      <c r="H8" s="54"/>
    </row>
    <row r="9" spans="2:11">
      <c r="B9" s="15"/>
      <c r="C9" s="17" t="s">
        <v>308</v>
      </c>
      <c r="D9" s="18" t="s">
        <v>350</v>
      </c>
      <c r="H9" s="54"/>
      <c r="K9" s="19" t="s">
        <v>314</v>
      </c>
    </row>
    <row r="10" spans="2:11">
      <c r="B10" s="15"/>
      <c r="C10" s="17" t="s">
        <v>310</v>
      </c>
      <c r="D10" s="20" t="s">
        <v>351</v>
      </c>
      <c r="E10" s="16" t="s">
        <v>315</v>
      </c>
      <c r="H10" s="54"/>
      <c r="K10" s="50" t="s">
        <v>423</v>
      </c>
    </row>
    <row r="11" spans="2:11">
      <c r="B11" s="15"/>
      <c r="C11" s="17" t="s">
        <v>312</v>
      </c>
      <c r="D11" s="53" t="str">
        <f>D10&amp;"_bk"</f>
        <v>t_internship_info_bk</v>
      </c>
      <c r="H11" s="54"/>
      <c r="K11" s="15"/>
    </row>
    <row r="12" spans="2:11" ht="16.5" thickBot="1">
      <c r="H12" s="54"/>
    </row>
    <row r="13" spans="2:11" ht="22.5">
      <c r="B13" s="7" t="s">
        <v>316</v>
      </c>
      <c r="C13" s="8" t="s">
        <v>317</v>
      </c>
      <c r="D13" s="8" t="s">
        <v>174</v>
      </c>
      <c r="E13" s="8" t="s">
        <v>318</v>
      </c>
      <c r="F13" s="8" t="s">
        <v>176</v>
      </c>
      <c r="G13" s="8" t="s">
        <v>177</v>
      </c>
      <c r="H13" s="55" t="s">
        <v>66</v>
      </c>
      <c r="K13" s="25" t="s">
        <v>122</v>
      </c>
    </row>
    <row r="14" spans="2:11" ht="19.5" customHeight="1">
      <c r="B14" s="51">
        <f t="shared" ref="B14:B47" si="0">ROW()-13</f>
        <v>1</v>
      </c>
      <c r="C14" s="1" t="s">
        <v>154</v>
      </c>
      <c r="D14" s="2" t="s">
        <v>319</v>
      </c>
      <c r="E14" s="2" t="s">
        <v>178</v>
      </c>
      <c r="F14" s="2" t="s">
        <v>179</v>
      </c>
      <c r="G14" s="52"/>
      <c r="H14" s="56" t="s">
        <v>180</v>
      </c>
      <c r="K14" s="31" t="s">
        <v>352</v>
      </c>
    </row>
    <row r="15" spans="2:11" ht="19.5" customHeight="1">
      <c r="B15" s="9">
        <f t="shared" si="0"/>
        <v>2</v>
      </c>
      <c r="C15" s="4" t="s">
        <v>94</v>
      </c>
      <c r="D15" s="4" t="s">
        <v>321</v>
      </c>
      <c r="E15" s="4" t="s">
        <v>322</v>
      </c>
      <c r="F15" s="2"/>
      <c r="G15" s="10"/>
      <c r="H15" s="57"/>
      <c r="K15" s="31" t="s">
        <v>353</v>
      </c>
    </row>
    <row r="16" spans="2:11" ht="19.5" customHeight="1">
      <c r="B16" s="9">
        <f t="shared" si="0"/>
        <v>3</v>
      </c>
      <c r="C16" s="3" t="s">
        <v>323</v>
      </c>
      <c r="D16" s="4" t="s">
        <v>324</v>
      </c>
      <c r="E16" s="4" t="s">
        <v>183</v>
      </c>
      <c r="F16" s="4"/>
      <c r="G16" s="10" t="s">
        <v>180</v>
      </c>
      <c r="H16" s="57" t="s">
        <v>180</v>
      </c>
      <c r="K16" s="31" t="s">
        <v>354</v>
      </c>
    </row>
    <row r="17" spans="2:11" ht="19.5" customHeight="1">
      <c r="B17" s="9">
        <f t="shared" si="0"/>
        <v>4</v>
      </c>
      <c r="C17" s="3" t="s">
        <v>155</v>
      </c>
      <c r="D17" s="4" t="s">
        <v>156</v>
      </c>
      <c r="E17" s="4" t="s">
        <v>192</v>
      </c>
      <c r="F17" s="4"/>
      <c r="G17" s="10" t="s">
        <v>180</v>
      </c>
      <c r="H17" s="57" t="s">
        <v>155</v>
      </c>
      <c r="K17" s="31" t="s">
        <v>355</v>
      </c>
    </row>
    <row r="18" spans="2:11" ht="19.5" customHeight="1">
      <c r="B18" s="9">
        <f t="shared" si="0"/>
        <v>5</v>
      </c>
      <c r="C18" s="3" t="s">
        <v>157</v>
      </c>
      <c r="D18" s="4" t="s">
        <v>325</v>
      </c>
      <c r="E18" s="4" t="s">
        <v>326</v>
      </c>
      <c r="F18" s="4" t="s">
        <v>179</v>
      </c>
      <c r="G18" s="10" t="s">
        <v>180</v>
      </c>
      <c r="H18" s="57" t="s">
        <v>180</v>
      </c>
      <c r="K18" s="34" t="s">
        <v>1</v>
      </c>
    </row>
    <row r="19" spans="2:11" ht="19.5" customHeight="1">
      <c r="B19" s="9">
        <f t="shared" si="0"/>
        <v>6</v>
      </c>
      <c r="C19" s="3" t="s">
        <v>158</v>
      </c>
      <c r="D19" s="4" t="s">
        <v>327</v>
      </c>
      <c r="E19" s="4" t="s">
        <v>328</v>
      </c>
      <c r="F19" s="4"/>
      <c r="G19" s="10" t="s">
        <v>180</v>
      </c>
      <c r="H19" s="57" t="s">
        <v>180</v>
      </c>
      <c r="K19" s="31" t="s">
        <v>356</v>
      </c>
    </row>
    <row r="20" spans="2:11" ht="19.5" customHeight="1">
      <c r="B20" s="9">
        <f t="shared" si="0"/>
        <v>7</v>
      </c>
      <c r="C20" s="3" t="s">
        <v>159</v>
      </c>
      <c r="D20" s="4" t="s">
        <v>329</v>
      </c>
      <c r="E20" s="4" t="s">
        <v>330</v>
      </c>
      <c r="F20" s="4"/>
      <c r="G20" s="10" t="s">
        <v>180</v>
      </c>
      <c r="H20" s="57" t="s">
        <v>180</v>
      </c>
      <c r="K20" s="31" t="s">
        <v>357</v>
      </c>
    </row>
    <row r="21" spans="2:11" ht="19.5" customHeight="1">
      <c r="B21" s="9">
        <f t="shared" si="0"/>
        <v>8</v>
      </c>
      <c r="C21" s="3" t="s">
        <v>160</v>
      </c>
      <c r="D21" s="4" t="s">
        <v>331</v>
      </c>
      <c r="E21" s="4" t="s">
        <v>194</v>
      </c>
      <c r="F21" s="4"/>
      <c r="G21" s="10" t="s">
        <v>180</v>
      </c>
      <c r="H21" s="57" t="s">
        <v>332</v>
      </c>
      <c r="K21" s="31" t="s">
        <v>358</v>
      </c>
    </row>
    <row r="22" spans="2:11" ht="19.5" customHeight="1">
      <c r="B22" s="9">
        <f t="shared" si="0"/>
        <v>9</v>
      </c>
      <c r="C22" s="4" t="s">
        <v>161</v>
      </c>
      <c r="D22" s="4" t="s">
        <v>333</v>
      </c>
      <c r="E22" s="4" t="s">
        <v>194</v>
      </c>
      <c r="F22" s="4"/>
      <c r="G22" s="10" t="s">
        <v>180</v>
      </c>
      <c r="H22" s="57" t="s">
        <v>332</v>
      </c>
      <c r="K22" s="31" t="s">
        <v>359</v>
      </c>
    </row>
    <row r="23" spans="2:11" ht="19.5" customHeight="1">
      <c r="B23" s="9">
        <f t="shared" si="0"/>
        <v>10</v>
      </c>
      <c r="C23" s="4" t="s">
        <v>334</v>
      </c>
      <c r="D23" s="4" t="s">
        <v>67</v>
      </c>
      <c r="E23" s="4" t="s">
        <v>194</v>
      </c>
      <c r="F23" s="4"/>
      <c r="G23" s="10" t="s">
        <v>180</v>
      </c>
      <c r="H23" s="57" t="s">
        <v>180</v>
      </c>
      <c r="K23" s="31" t="s">
        <v>67</v>
      </c>
    </row>
    <row r="24" spans="2:11" ht="19.5" customHeight="1">
      <c r="B24" s="9">
        <f t="shared" si="0"/>
        <v>11</v>
      </c>
      <c r="C24" s="4" t="s">
        <v>335</v>
      </c>
      <c r="D24" s="4" t="s">
        <v>141</v>
      </c>
      <c r="E24" s="4" t="s">
        <v>195</v>
      </c>
      <c r="F24" s="4"/>
      <c r="G24" s="10" t="s">
        <v>180</v>
      </c>
      <c r="H24" s="57" t="s">
        <v>198</v>
      </c>
      <c r="K24" s="31" t="s">
        <v>360</v>
      </c>
    </row>
    <row r="25" spans="2:11" ht="19.5" customHeight="1">
      <c r="B25" s="9">
        <f t="shared" si="0"/>
        <v>12</v>
      </c>
      <c r="C25" s="4" t="s">
        <v>336</v>
      </c>
      <c r="D25" s="4" t="s">
        <v>143</v>
      </c>
      <c r="E25" s="4" t="s">
        <v>195</v>
      </c>
      <c r="F25" s="4"/>
      <c r="G25" s="10" t="s">
        <v>180</v>
      </c>
      <c r="H25" s="57" t="s">
        <v>180</v>
      </c>
      <c r="K25" s="31" t="s">
        <v>361</v>
      </c>
    </row>
    <row r="26" spans="2:11" ht="19.5" customHeight="1">
      <c r="B26" s="9">
        <f t="shared" si="0"/>
        <v>13</v>
      </c>
      <c r="C26" s="4" t="s">
        <v>97</v>
      </c>
      <c r="D26" s="4" t="s">
        <v>144</v>
      </c>
      <c r="E26" s="4" t="s">
        <v>195</v>
      </c>
      <c r="F26" s="4"/>
      <c r="G26" s="10" t="s">
        <v>180</v>
      </c>
      <c r="H26" s="57" t="s">
        <v>180</v>
      </c>
      <c r="K26" s="31" t="s">
        <v>98</v>
      </c>
    </row>
    <row r="27" spans="2:11" ht="19.5" customHeight="1">
      <c r="B27" s="9">
        <f t="shared" si="0"/>
        <v>14</v>
      </c>
      <c r="C27" s="4" t="s">
        <v>99</v>
      </c>
      <c r="D27" s="4" t="s">
        <v>100</v>
      </c>
      <c r="E27" s="4" t="s">
        <v>195</v>
      </c>
      <c r="F27" s="4"/>
      <c r="G27" s="10" t="s">
        <v>180</v>
      </c>
      <c r="H27" s="57" t="s">
        <v>200</v>
      </c>
      <c r="K27" s="31" t="s">
        <v>100</v>
      </c>
    </row>
    <row r="28" spans="2:11" ht="19.5" customHeight="1">
      <c r="B28" s="9">
        <f t="shared" si="0"/>
        <v>15</v>
      </c>
      <c r="C28" s="4" t="s">
        <v>102</v>
      </c>
      <c r="D28" s="4" t="s">
        <v>107</v>
      </c>
      <c r="E28" s="4" t="s">
        <v>337</v>
      </c>
      <c r="F28" s="4"/>
      <c r="G28" s="10" t="s">
        <v>338</v>
      </c>
      <c r="H28" s="57" t="s">
        <v>203</v>
      </c>
      <c r="K28" s="31" t="s">
        <v>32</v>
      </c>
    </row>
    <row r="29" spans="2:11" ht="19.5" customHeight="1">
      <c r="B29" s="9">
        <f t="shared" si="0"/>
        <v>16</v>
      </c>
      <c r="C29" s="4" t="s">
        <v>145</v>
      </c>
      <c r="D29" s="4" t="s">
        <v>33</v>
      </c>
      <c r="E29" s="4" t="s">
        <v>194</v>
      </c>
      <c r="F29" s="4"/>
      <c r="G29" s="10" t="s">
        <v>180</v>
      </c>
      <c r="H29" s="57" t="s">
        <v>193</v>
      </c>
      <c r="K29" s="31" t="s">
        <v>33</v>
      </c>
    </row>
    <row r="30" spans="2:11" ht="19.5" customHeight="1">
      <c r="B30" s="9">
        <f t="shared" si="0"/>
        <v>17</v>
      </c>
      <c r="C30" s="4" t="s">
        <v>103</v>
      </c>
      <c r="D30" s="4" t="s">
        <v>108</v>
      </c>
      <c r="E30" s="4" t="s">
        <v>339</v>
      </c>
      <c r="F30" s="4"/>
      <c r="G30" s="10" t="s">
        <v>340</v>
      </c>
      <c r="H30" s="57"/>
      <c r="K30" s="60" t="s">
        <v>413</v>
      </c>
    </row>
    <row r="31" spans="2:11" ht="19.5" customHeight="1">
      <c r="B31" s="9">
        <f t="shared" si="0"/>
        <v>18</v>
      </c>
      <c r="C31" s="4" t="s">
        <v>109</v>
      </c>
      <c r="D31" s="4" t="s">
        <v>110</v>
      </c>
      <c r="E31" s="4" t="s">
        <v>294</v>
      </c>
      <c r="F31" s="4"/>
      <c r="G31" s="10"/>
      <c r="H31" s="11" t="s">
        <v>342</v>
      </c>
      <c r="K31" s="31" t="s">
        <v>313</v>
      </c>
    </row>
    <row r="32" spans="2:11" ht="19.5" customHeight="1">
      <c r="B32" s="9">
        <f t="shared" si="0"/>
        <v>19</v>
      </c>
      <c r="C32" s="4" t="s">
        <v>111</v>
      </c>
      <c r="D32" s="4" t="s">
        <v>118</v>
      </c>
      <c r="E32" s="4" t="s">
        <v>192</v>
      </c>
      <c r="F32" s="4"/>
      <c r="G32" s="10"/>
      <c r="H32" s="11" t="s">
        <v>342</v>
      </c>
      <c r="K32" s="31" t="s">
        <v>313</v>
      </c>
    </row>
    <row r="33" spans="2:11" ht="19.5" customHeight="1">
      <c r="B33" s="9">
        <f t="shared" si="0"/>
        <v>20</v>
      </c>
      <c r="C33" s="4" t="s">
        <v>104</v>
      </c>
      <c r="D33" s="4" t="s">
        <v>343</v>
      </c>
      <c r="E33" s="4" t="s">
        <v>192</v>
      </c>
      <c r="F33" s="4" t="s">
        <v>179</v>
      </c>
      <c r="G33" s="10" t="s">
        <v>123</v>
      </c>
      <c r="H33" s="11" t="s">
        <v>298</v>
      </c>
      <c r="K33" s="31" t="s">
        <v>300</v>
      </c>
    </row>
    <row r="34" spans="2:11" ht="19.5" customHeight="1">
      <c r="B34" s="9">
        <f t="shared" si="0"/>
        <v>21</v>
      </c>
      <c r="C34" s="4" t="s">
        <v>125</v>
      </c>
      <c r="D34" s="4" t="s">
        <v>126</v>
      </c>
      <c r="E34" s="4" t="s">
        <v>192</v>
      </c>
      <c r="F34" s="4" t="s">
        <v>179</v>
      </c>
      <c r="G34" s="10" t="s">
        <v>123</v>
      </c>
      <c r="H34" s="11" t="s">
        <v>298</v>
      </c>
      <c r="K34" s="31" t="s">
        <v>300</v>
      </c>
    </row>
    <row r="35" spans="2:11" ht="19.5" customHeight="1">
      <c r="B35" s="9">
        <f t="shared" si="0"/>
        <v>22</v>
      </c>
      <c r="C35" s="4" t="s">
        <v>163</v>
      </c>
      <c r="D35" s="4" t="s">
        <v>164</v>
      </c>
      <c r="E35" s="4" t="s">
        <v>344</v>
      </c>
      <c r="F35" s="4"/>
      <c r="G35" s="10" t="s">
        <v>204</v>
      </c>
      <c r="H35" s="57" t="s">
        <v>345</v>
      </c>
      <c r="K35" s="36" t="s">
        <v>363</v>
      </c>
    </row>
    <row r="36" spans="2:11" ht="19.5" customHeight="1">
      <c r="B36" s="9">
        <f t="shared" si="0"/>
        <v>23</v>
      </c>
      <c r="C36" s="4" t="s">
        <v>346</v>
      </c>
      <c r="D36" s="4" t="s">
        <v>70</v>
      </c>
      <c r="E36" s="4" t="s">
        <v>192</v>
      </c>
      <c r="F36" s="4" t="s">
        <v>179</v>
      </c>
      <c r="G36" s="10" t="s">
        <v>300</v>
      </c>
      <c r="H36" s="57" t="s">
        <v>180</v>
      </c>
      <c r="K36" s="31" t="s">
        <v>70</v>
      </c>
    </row>
    <row r="37" spans="2:11" ht="19.5" customHeight="1">
      <c r="B37" s="9">
        <f t="shared" si="0"/>
        <v>24</v>
      </c>
      <c r="C37" s="4" t="s">
        <v>71</v>
      </c>
      <c r="D37" s="4" t="s">
        <v>347</v>
      </c>
      <c r="E37" s="4" t="s">
        <v>192</v>
      </c>
      <c r="F37" s="4" t="s">
        <v>179</v>
      </c>
      <c r="G37" s="10" t="s">
        <v>204</v>
      </c>
      <c r="H37" s="57" t="s">
        <v>180</v>
      </c>
      <c r="K37" s="41" t="s">
        <v>72</v>
      </c>
    </row>
    <row r="38" spans="2:11" ht="19.5" customHeight="1">
      <c r="B38" s="9">
        <f t="shared" si="0"/>
        <v>25</v>
      </c>
      <c r="C38" s="4" t="s">
        <v>73</v>
      </c>
      <c r="D38" s="4" t="s">
        <v>113</v>
      </c>
      <c r="E38" s="4" t="s">
        <v>294</v>
      </c>
      <c r="F38" s="4" t="s">
        <v>179</v>
      </c>
      <c r="G38" s="10"/>
      <c r="H38" s="57"/>
      <c r="K38" s="41" t="s">
        <v>74</v>
      </c>
    </row>
    <row r="39" spans="2:11" ht="19.5" customHeight="1">
      <c r="B39" s="9">
        <f t="shared" si="0"/>
        <v>26</v>
      </c>
      <c r="C39" s="4" t="s">
        <v>75</v>
      </c>
      <c r="D39" s="4" t="s">
        <v>348</v>
      </c>
      <c r="E39" s="4" t="s">
        <v>192</v>
      </c>
      <c r="F39" s="4" t="s">
        <v>179</v>
      </c>
      <c r="G39" s="10"/>
      <c r="H39" s="57"/>
      <c r="K39" s="41" t="s">
        <v>76</v>
      </c>
    </row>
    <row r="40" spans="2:11" ht="19.5" customHeight="1">
      <c r="B40" s="9">
        <f t="shared" si="0"/>
        <v>27</v>
      </c>
      <c r="C40" s="4" t="s">
        <v>77</v>
      </c>
      <c r="D40" s="4" t="s">
        <v>114</v>
      </c>
      <c r="E40" s="4" t="s">
        <v>294</v>
      </c>
      <c r="F40" s="4" t="s">
        <v>179</v>
      </c>
      <c r="G40" s="10" t="s">
        <v>180</v>
      </c>
      <c r="H40" s="57" t="s">
        <v>180</v>
      </c>
      <c r="K40" s="41" t="s">
        <v>78</v>
      </c>
    </row>
    <row r="41" spans="2:11" ht="19.5" customHeight="1">
      <c r="B41" s="9">
        <f t="shared" si="0"/>
        <v>28</v>
      </c>
      <c r="C41" s="4" t="s">
        <v>79</v>
      </c>
      <c r="D41" s="4" t="s">
        <v>349</v>
      </c>
      <c r="E41" s="4" t="s">
        <v>192</v>
      </c>
      <c r="F41" s="4" t="s">
        <v>179</v>
      </c>
      <c r="G41" s="10"/>
      <c r="H41" s="57"/>
      <c r="K41" s="41" t="s">
        <v>80</v>
      </c>
    </row>
    <row r="42" spans="2:11" ht="19.5" customHeight="1">
      <c r="B42" s="9">
        <f t="shared" si="0"/>
        <v>29</v>
      </c>
      <c r="C42" s="4" t="s">
        <v>81</v>
      </c>
      <c r="D42" s="4" t="s">
        <v>82</v>
      </c>
      <c r="E42" s="4" t="s">
        <v>194</v>
      </c>
      <c r="F42" s="4"/>
      <c r="G42" s="10" t="s">
        <v>180</v>
      </c>
      <c r="H42" s="57" t="s">
        <v>180</v>
      </c>
      <c r="K42" s="41" t="s">
        <v>82</v>
      </c>
    </row>
    <row r="43" spans="2:11" ht="19.5" customHeight="1">
      <c r="B43" s="9">
        <f t="shared" si="0"/>
        <v>30</v>
      </c>
      <c r="C43" s="4" t="s">
        <v>83</v>
      </c>
      <c r="D43" s="4" t="s">
        <v>84</v>
      </c>
      <c r="E43" s="4" t="s">
        <v>194</v>
      </c>
      <c r="F43" s="4"/>
      <c r="G43" s="10" t="s">
        <v>180</v>
      </c>
      <c r="H43" s="57" t="s">
        <v>180</v>
      </c>
      <c r="K43" s="41" t="s">
        <v>84</v>
      </c>
    </row>
    <row r="44" spans="2:11" ht="19.5" customHeight="1">
      <c r="B44" s="9">
        <f t="shared" si="0"/>
        <v>31</v>
      </c>
      <c r="C44" s="4" t="s">
        <v>85</v>
      </c>
      <c r="D44" s="4" t="s">
        <v>86</v>
      </c>
      <c r="E44" s="4" t="s">
        <v>194</v>
      </c>
      <c r="F44" s="4"/>
      <c r="G44" s="10" t="s">
        <v>180</v>
      </c>
      <c r="H44" s="57" t="s">
        <v>180</v>
      </c>
      <c r="K44" s="41" t="s">
        <v>86</v>
      </c>
    </row>
    <row r="45" spans="2:11" ht="19.5" customHeight="1">
      <c r="B45" s="9">
        <f t="shared" si="0"/>
        <v>32</v>
      </c>
      <c r="C45" s="4" t="s">
        <v>87</v>
      </c>
      <c r="D45" s="4" t="s">
        <v>88</v>
      </c>
      <c r="E45" s="4" t="s">
        <v>194</v>
      </c>
      <c r="F45" s="4"/>
      <c r="G45" s="10" t="s">
        <v>180</v>
      </c>
      <c r="H45" s="57" t="s">
        <v>180</v>
      </c>
      <c r="K45" s="41" t="s">
        <v>88</v>
      </c>
    </row>
    <row r="46" spans="2:11" ht="19.5" customHeight="1">
      <c r="B46" s="9">
        <f t="shared" si="0"/>
        <v>33</v>
      </c>
      <c r="C46" s="5" t="s">
        <v>89</v>
      </c>
      <c r="D46" s="5" t="s">
        <v>90</v>
      </c>
      <c r="E46" s="5" t="s">
        <v>194</v>
      </c>
      <c r="F46" s="5"/>
      <c r="G46" s="12"/>
      <c r="H46" s="58"/>
      <c r="K46" s="41" t="s">
        <v>90</v>
      </c>
    </row>
    <row r="47" spans="2:11" ht="19.5" customHeight="1" thickBot="1">
      <c r="B47" s="13">
        <f t="shared" si="0"/>
        <v>34</v>
      </c>
      <c r="C47" s="6" t="s">
        <v>91</v>
      </c>
      <c r="D47" s="6" t="s">
        <v>116</v>
      </c>
      <c r="E47" s="6" t="s">
        <v>194</v>
      </c>
      <c r="F47" s="6"/>
      <c r="G47" s="14" t="s">
        <v>180</v>
      </c>
      <c r="H47" s="59" t="s">
        <v>180</v>
      </c>
      <c r="K47" s="41" t="s">
        <v>92</v>
      </c>
    </row>
  </sheetData>
  <phoneticPr fontId="9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ildSQL">
          <controlPr defaultSize="0" autoLine="0" r:id="rId5">
            <anchor moveWithCells="1">
              <from>
                <xdr:col>10</xdr:col>
                <xdr:colOff>0</xdr:colOff>
                <xdr:row>5</xdr:row>
                <xdr:rowOff>76200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7169" r:id="rId4" name="BuildSQ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43"/>
  <sheetViews>
    <sheetView zoomScaleNormal="100" workbookViewId="0">
      <selection activeCell="K10" sqref="K10"/>
    </sheetView>
  </sheetViews>
  <sheetFormatPr defaultRowHeight="15.75"/>
  <cols>
    <col min="1" max="1" width="2" style="16" customWidth="1"/>
    <col min="2" max="2" width="4" style="16" customWidth="1"/>
    <col min="3" max="3" width="18.21875" style="16" customWidth="1"/>
    <col min="4" max="4" width="16.77734375" style="16" customWidth="1"/>
    <col min="5" max="5" width="13" style="16" customWidth="1"/>
    <col min="6" max="7" width="5.6640625" style="16" customWidth="1"/>
    <col min="8" max="8" width="2.77734375" style="16" customWidth="1"/>
    <col min="9" max="10" width="3.33203125" style="16" customWidth="1"/>
    <col min="11" max="11" width="20" style="16" customWidth="1"/>
    <col min="12" max="16384" width="8.88671875" style="16"/>
  </cols>
  <sheetData>
    <row r="1" spans="2:11" ht="0.75" customHeight="1"/>
    <row r="2" spans="2:11" ht="15.75" hidden="1" customHeight="1"/>
    <row r="3" spans="2:11" ht="15.75" hidden="1" customHeight="1"/>
    <row r="4" spans="2:11" ht="15.75" hidden="1" customHeight="1"/>
    <row r="5" spans="2:11" ht="15.75" hidden="1" customHeight="1"/>
    <row r="6" spans="2:11" ht="15.75" hidden="1" customHeight="1"/>
    <row r="7" spans="2:11">
      <c r="B7" s="15" t="s">
        <v>307</v>
      </c>
      <c r="K7" s="15"/>
    </row>
    <row r="8" spans="2:11">
      <c r="B8" s="15"/>
    </row>
    <row r="9" spans="2:11">
      <c r="B9" s="15"/>
      <c r="C9" s="17" t="s">
        <v>308</v>
      </c>
      <c r="D9" s="18" t="s">
        <v>379</v>
      </c>
      <c r="K9" s="19" t="s">
        <v>314</v>
      </c>
    </row>
    <row r="10" spans="2:11">
      <c r="B10" s="15"/>
      <c r="C10" s="17" t="s">
        <v>310</v>
      </c>
      <c r="D10" s="20" t="s">
        <v>378</v>
      </c>
      <c r="E10" s="16" t="s">
        <v>315</v>
      </c>
      <c r="K10" s="50" t="s">
        <v>412</v>
      </c>
    </row>
    <row r="11" spans="2:11">
      <c r="B11" s="15"/>
      <c r="C11" s="17" t="s">
        <v>312</v>
      </c>
      <c r="D11" s="53" t="str">
        <f>D10&amp;"_bk"</f>
        <v>t_seminar_info_bk</v>
      </c>
      <c r="K11" s="15"/>
    </row>
    <row r="12" spans="2:11" ht="16.5" thickBot="1"/>
    <row r="13" spans="2:11">
      <c r="B13" s="22" t="s">
        <v>316</v>
      </c>
      <c r="C13" s="23" t="s">
        <v>317</v>
      </c>
      <c r="D13" s="23" t="s">
        <v>174</v>
      </c>
      <c r="E13" s="23" t="s">
        <v>318</v>
      </c>
      <c r="F13" s="23" t="s">
        <v>176</v>
      </c>
      <c r="G13" s="23" t="s">
        <v>177</v>
      </c>
      <c r="H13" s="24" t="s">
        <v>66</v>
      </c>
      <c r="K13" s="25" t="s">
        <v>122</v>
      </c>
    </row>
    <row r="14" spans="2:11">
      <c r="B14" s="26">
        <v>1</v>
      </c>
      <c r="C14" s="27" t="s">
        <v>93</v>
      </c>
      <c r="D14" s="28" t="s">
        <v>364</v>
      </c>
      <c r="E14" s="28" t="s">
        <v>365</v>
      </c>
      <c r="F14" s="28" t="s">
        <v>179</v>
      </c>
      <c r="G14" s="29"/>
      <c r="H14" s="30" t="s">
        <v>180</v>
      </c>
      <c r="K14" s="31" t="s">
        <v>364</v>
      </c>
    </row>
    <row r="15" spans="2:11">
      <c r="B15" s="26">
        <v>2</v>
      </c>
      <c r="C15" s="32" t="s">
        <v>0</v>
      </c>
      <c r="D15" s="28" t="s">
        <v>1</v>
      </c>
      <c r="E15" s="28" t="s">
        <v>194</v>
      </c>
      <c r="F15" s="28" t="s">
        <v>179</v>
      </c>
      <c r="G15" s="29" t="s">
        <v>180</v>
      </c>
      <c r="H15" s="30" t="s">
        <v>180</v>
      </c>
      <c r="K15" s="31" t="s">
        <v>1</v>
      </c>
    </row>
    <row r="16" spans="2:11">
      <c r="B16" s="26">
        <v>3</v>
      </c>
      <c r="C16" s="32" t="s">
        <v>366</v>
      </c>
      <c r="D16" s="28" t="s">
        <v>367</v>
      </c>
      <c r="E16" s="28" t="s">
        <v>192</v>
      </c>
      <c r="F16" s="28" t="s">
        <v>179</v>
      </c>
      <c r="G16" s="29" t="s">
        <v>180</v>
      </c>
      <c r="H16" s="30" t="s">
        <v>180</v>
      </c>
      <c r="K16" s="31" t="s">
        <v>367</v>
      </c>
    </row>
    <row r="17" spans="2:11">
      <c r="B17" s="26">
        <v>4</v>
      </c>
      <c r="C17" s="28" t="s">
        <v>320</v>
      </c>
      <c r="D17" s="28" t="s">
        <v>353</v>
      </c>
      <c r="E17" s="28" t="s">
        <v>195</v>
      </c>
      <c r="F17" s="28"/>
      <c r="G17" s="29" t="s">
        <v>180</v>
      </c>
      <c r="H17" s="30" t="s">
        <v>180</v>
      </c>
      <c r="K17" s="31" t="s">
        <v>353</v>
      </c>
    </row>
    <row r="18" spans="2:11">
      <c r="B18" s="26">
        <v>5</v>
      </c>
      <c r="C18" s="28" t="s">
        <v>368</v>
      </c>
      <c r="D18" s="33" t="s">
        <v>369</v>
      </c>
      <c r="E18" s="28" t="s">
        <v>192</v>
      </c>
      <c r="F18" s="28"/>
      <c r="G18" s="29"/>
      <c r="H18" s="30"/>
      <c r="K18" s="34" t="s">
        <v>369</v>
      </c>
    </row>
    <row r="19" spans="2:11">
      <c r="B19" s="26">
        <v>6</v>
      </c>
      <c r="C19" s="28" t="s">
        <v>370</v>
      </c>
      <c r="D19" s="28" t="s">
        <v>371</v>
      </c>
      <c r="E19" s="28" t="s">
        <v>195</v>
      </c>
      <c r="F19" s="28"/>
      <c r="G19" s="29"/>
      <c r="H19" s="30"/>
      <c r="K19" s="31" t="s">
        <v>371</v>
      </c>
    </row>
    <row r="20" spans="2:11">
      <c r="B20" s="26">
        <v>7</v>
      </c>
      <c r="C20" s="28" t="s">
        <v>372</v>
      </c>
      <c r="D20" s="28" t="s">
        <v>373</v>
      </c>
      <c r="E20" s="28" t="s">
        <v>195</v>
      </c>
      <c r="F20" s="28"/>
      <c r="G20" s="29"/>
      <c r="H20" s="30"/>
      <c r="K20" s="31" t="s">
        <v>373</v>
      </c>
    </row>
    <row r="21" spans="2:11">
      <c r="B21" s="26">
        <v>8</v>
      </c>
      <c r="C21" s="28" t="s">
        <v>95</v>
      </c>
      <c r="D21" s="28" t="s">
        <v>96</v>
      </c>
      <c r="E21" s="28" t="s">
        <v>194</v>
      </c>
      <c r="F21" s="28"/>
      <c r="G21" s="29" t="s">
        <v>180</v>
      </c>
      <c r="H21" s="30" t="s">
        <v>180</v>
      </c>
      <c r="K21" s="31" t="s">
        <v>96</v>
      </c>
    </row>
    <row r="22" spans="2:11">
      <c r="B22" s="26">
        <v>9</v>
      </c>
      <c r="C22" s="28" t="s">
        <v>97</v>
      </c>
      <c r="D22" s="28" t="s">
        <v>98</v>
      </c>
      <c r="E22" s="28" t="s">
        <v>195</v>
      </c>
      <c r="F22" s="28"/>
      <c r="G22" s="29" t="s">
        <v>180</v>
      </c>
      <c r="H22" s="30" t="s">
        <v>180</v>
      </c>
      <c r="K22" s="31" t="s">
        <v>98</v>
      </c>
    </row>
    <row r="23" spans="2:11">
      <c r="B23" s="26">
        <v>10</v>
      </c>
      <c r="C23" s="28" t="s">
        <v>99</v>
      </c>
      <c r="D23" s="28" t="s">
        <v>100</v>
      </c>
      <c r="E23" s="28" t="s">
        <v>195</v>
      </c>
      <c r="F23" s="28"/>
      <c r="G23" s="29" t="s">
        <v>180</v>
      </c>
      <c r="H23" s="30" t="s">
        <v>180</v>
      </c>
      <c r="K23" s="31" t="s">
        <v>100</v>
      </c>
    </row>
    <row r="24" spans="2:11">
      <c r="B24" s="26">
        <v>11</v>
      </c>
      <c r="C24" s="28" t="s">
        <v>66</v>
      </c>
      <c r="D24" s="28" t="s">
        <v>101</v>
      </c>
      <c r="E24" s="28" t="s">
        <v>194</v>
      </c>
      <c r="F24" s="28"/>
      <c r="G24" s="29" t="s">
        <v>180</v>
      </c>
      <c r="H24" s="30" t="s">
        <v>180</v>
      </c>
      <c r="K24" s="31" t="s">
        <v>101</v>
      </c>
    </row>
    <row r="25" spans="2:11">
      <c r="B25" s="26">
        <v>12</v>
      </c>
      <c r="C25" s="28" t="s">
        <v>201</v>
      </c>
      <c r="D25" s="28" t="s">
        <v>32</v>
      </c>
      <c r="E25" s="28" t="s">
        <v>192</v>
      </c>
      <c r="F25" s="28" t="s">
        <v>179</v>
      </c>
      <c r="G25" s="29" t="s">
        <v>180</v>
      </c>
      <c r="H25" s="30" t="s">
        <v>180</v>
      </c>
      <c r="K25" s="31" t="s">
        <v>32</v>
      </c>
    </row>
    <row r="26" spans="2:11">
      <c r="B26" s="26">
        <v>13</v>
      </c>
      <c r="C26" s="28" t="s">
        <v>292</v>
      </c>
      <c r="D26" s="28" t="s">
        <v>362</v>
      </c>
      <c r="E26" s="28" t="s">
        <v>192</v>
      </c>
      <c r="F26" s="28"/>
      <c r="G26" s="29" t="s">
        <v>186</v>
      </c>
      <c r="H26" s="30"/>
      <c r="K26" s="60" t="s">
        <v>300</v>
      </c>
    </row>
    <row r="27" spans="2:11">
      <c r="B27" s="26">
        <v>14</v>
      </c>
      <c r="C27" s="28" t="s">
        <v>293</v>
      </c>
      <c r="D27" s="28" t="s">
        <v>374</v>
      </c>
      <c r="E27" s="28" t="s">
        <v>294</v>
      </c>
      <c r="F27" s="28"/>
      <c r="G27" s="29"/>
      <c r="H27" s="30" t="s">
        <v>341</v>
      </c>
      <c r="K27" s="60" t="s">
        <v>313</v>
      </c>
    </row>
    <row r="28" spans="2:11">
      <c r="B28" s="26">
        <v>15</v>
      </c>
      <c r="C28" s="28" t="s">
        <v>295</v>
      </c>
      <c r="D28" s="28" t="s">
        <v>375</v>
      </c>
      <c r="E28" s="28" t="s">
        <v>192</v>
      </c>
      <c r="F28" s="28"/>
      <c r="G28" s="29"/>
      <c r="H28" s="30" t="s">
        <v>341</v>
      </c>
      <c r="K28" s="60" t="s">
        <v>313</v>
      </c>
    </row>
    <row r="29" spans="2:11">
      <c r="B29" s="26">
        <v>16</v>
      </c>
      <c r="C29" s="28" t="s">
        <v>296</v>
      </c>
      <c r="D29" s="28" t="s">
        <v>376</v>
      </c>
      <c r="E29" s="28" t="s">
        <v>192</v>
      </c>
      <c r="F29" s="28" t="s">
        <v>179</v>
      </c>
      <c r="G29" s="29" t="s">
        <v>300</v>
      </c>
      <c r="H29" s="30" t="s">
        <v>297</v>
      </c>
      <c r="K29" s="60" t="s">
        <v>300</v>
      </c>
    </row>
    <row r="30" spans="2:11">
      <c r="B30" s="26">
        <v>17</v>
      </c>
      <c r="C30" s="28" t="s">
        <v>299</v>
      </c>
      <c r="D30" s="28" t="s">
        <v>377</v>
      </c>
      <c r="E30" s="28" t="s">
        <v>192</v>
      </c>
      <c r="F30" s="28" t="s">
        <v>179</v>
      </c>
      <c r="G30" s="29" t="s">
        <v>300</v>
      </c>
      <c r="H30" s="30" t="s">
        <v>297</v>
      </c>
      <c r="K30" s="60" t="s">
        <v>300</v>
      </c>
    </row>
    <row r="31" spans="2:11">
      <c r="B31" s="26">
        <v>18</v>
      </c>
      <c r="C31" s="28" t="s">
        <v>105</v>
      </c>
      <c r="D31" s="28" t="s">
        <v>106</v>
      </c>
      <c r="E31" s="28" t="s">
        <v>192</v>
      </c>
      <c r="F31" s="28"/>
      <c r="G31" s="29"/>
      <c r="H31" s="30" t="s">
        <v>180</v>
      </c>
      <c r="K31" s="31" t="s">
        <v>106</v>
      </c>
    </row>
    <row r="32" spans="2:11">
      <c r="B32" s="26">
        <v>19</v>
      </c>
      <c r="C32" s="28" t="s">
        <v>69</v>
      </c>
      <c r="D32" s="28" t="s">
        <v>70</v>
      </c>
      <c r="E32" s="28" t="s">
        <v>192</v>
      </c>
      <c r="F32" s="28" t="s">
        <v>179</v>
      </c>
      <c r="G32" s="29" t="s">
        <v>300</v>
      </c>
      <c r="H32" s="30" t="s">
        <v>180</v>
      </c>
      <c r="K32" s="31" t="s">
        <v>70</v>
      </c>
    </row>
    <row r="33" spans="2:11">
      <c r="B33" s="26">
        <v>20</v>
      </c>
      <c r="C33" s="28" t="s">
        <v>301</v>
      </c>
      <c r="D33" s="28" t="s">
        <v>72</v>
      </c>
      <c r="E33" s="28" t="s">
        <v>192</v>
      </c>
      <c r="F33" s="28" t="s">
        <v>179</v>
      </c>
      <c r="G33" s="29" t="s">
        <v>186</v>
      </c>
      <c r="H33" s="30" t="s">
        <v>180</v>
      </c>
      <c r="K33" s="31" t="s">
        <v>72</v>
      </c>
    </row>
    <row r="34" spans="2:11">
      <c r="B34" s="26">
        <v>21</v>
      </c>
      <c r="C34" s="28" t="s">
        <v>302</v>
      </c>
      <c r="D34" s="28" t="s">
        <v>74</v>
      </c>
      <c r="E34" s="28" t="s">
        <v>294</v>
      </c>
      <c r="F34" s="28" t="s">
        <v>179</v>
      </c>
      <c r="G34" s="29"/>
      <c r="H34" s="30"/>
      <c r="K34" s="31" t="s">
        <v>74</v>
      </c>
    </row>
    <row r="35" spans="2:11">
      <c r="B35" s="26">
        <v>22</v>
      </c>
      <c r="C35" s="28" t="s">
        <v>303</v>
      </c>
      <c r="D35" s="32" t="s">
        <v>76</v>
      </c>
      <c r="E35" s="28" t="s">
        <v>192</v>
      </c>
      <c r="F35" s="28" t="s">
        <v>179</v>
      </c>
      <c r="G35" s="29"/>
      <c r="H35" s="35"/>
      <c r="K35" s="36" t="s">
        <v>76</v>
      </c>
    </row>
    <row r="36" spans="2:11">
      <c r="B36" s="26">
        <v>23</v>
      </c>
      <c r="C36" s="28" t="s">
        <v>304</v>
      </c>
      <c r="D36" s="28" t="s">
        <v>78</v>
      </c>
      <c r="E36" s="28" t="s">
        <v>294</v>
      </c>
      <c r="F36" s="28" t="s">
        <v>179</v>
      </c>
      <c r="G36" s="29" t="s">
        <v>180</v>
      </c>
      <c r="H36" s="30" t="s">
        <v>180</v>
      </c>
      <c r="K36" s="31" t="s">
        <v>78</v>
      </c>
    </row>
    <row r="37" spans="2:11">
      <c r="B37" s="37">
        <v>24</v>
      </c>
      <c r="C37" s="38" t="s">
        <v>305</v>
      </c>
      <c r="D37" s="38" t="s">
        <v>80</v>
      </c>
      <c r="E37" s="38" t="s">
        <v>192</v>
      </c>
      <c r="F37" s="38" t="s">
        <v>179</v>
      </c>
      <c r="G37" s="39"/>
      <c r="H37" s="40"/>
      <c r="K37" s="41" t="s">
        <v>80</v>
      </c>
    </row>
    <row r="38" spans="2:11">
      <c r="B38" s="37">
        <v>25</v>
      </c>
      <c r="C38" s="38" t="s">
        <v>81</v>
      </c>
      <c r="D38" s="38" t="s">
        <v>82</v>
      </c>
      <c r="E38" s="38" t="s">
        <v>194</v>
      </c>
      <c r="F38" s="38"/>
      <c r="G38" s="39" t="s">
        <v>180</v>
      </c>
      <c r="H38" s="40" t="s">
        <v>180</v>
      </c>
      <c r="K38" s="41" t="s">
        <v>82</v>
      </c>
    </row>
    <row r="39" spans="2:11">
      <c r="B39" s="37">
        <v>26</v>
      </c>
      <c r="C39" s="38" t="s">
        <v>83</v>
      </c>
      <c r="D39" s="38" t="s">
        <v>84</v>
      </c>
      <c r="E39" s="38" t="s">
        <v>194</v>
      </c>
      <c r="F39" s="38"/>
      <c r="G39" s="39" t="s">
        <v>180</v>
      </c>
      <c r="H39" s="40" t="s">
        <v>180</v>
      </c>
      <c r="K39" s="41" t="s">
        <v>84</v>
      </c>
    </row>
    <row r="40" spans="2:11">
      <c r="B40" s="37">
        <v>27</v>
      </c>
      <c r="C40" s="38" t="s">
        <v>85</v>
      </c>
      <c r="D40" s="38" t="s">
        <v>86</v>
      </c>
      <c r="E40" s="38" t="s">
        <v>194</v>
      </c>
      <c r="F40" s="38"/>
      <c r="G40" s="39" t="s">
        <v>180</v>
      </c>
      <c r="H40" s="40" t="s">
        <v>180</v>
      </c>
      <c r="K40" s="41" t="s">
        <v>86</v>
      </c>
    </row>
    <row r="41" spans="2:11">
      <c r="B41" s="37">
        <v>28</v>
      </c>
      <c r="C41" s="38" t="s">
        <v>87</v>
      </c>
      <c r="D41" s="38" t="s">
        <v>88</v>
      </c>
      <c r="E41" s="38" t="s">
        <v>194</v>
      </c>
      <c r="F41" s="38"/>
      <c r="G41" s="39" t="s">
        <v>180</v>
      </c>
      <c r="H41" s="40" t="s">
        <v>180</v>
      </c>
      <c r="K41" s="41" t="s">
        <v>88</v>
      </c>
    </row>
    <row r="42" spans="2:11">
      <c r="B42" s="37">
        <v>29</v>
      </c>
      <c r="C42" s="38" t="s">
        <v>89</v>
      </c>
      <c r="D42" s="38" t="s">
        <v>90</v>
      </c>
      <c r="E42" s="38" t="s">
        <v>194</v>
      </c>
      <c r="F42" s="38"/>
      <c r="G42" s="39"/>
      <c r="H42" s="40"/>
      <c r="K42" s="41" t="s">
        <v>90</v>
      </c>
    </row>
    <row r="43" spans="2:11">
      <c r="B43" s="37">
        <v>30</v>
      </c>
      <c r="C43" s="38" t="s">
        <v>306</v>
      </c>
      <c r="D43" s="38" t="s">
        <v>92</v>
      </c>
      <c r="E43" s="38" t="s">
        <v>194</v>
      </c>
      <c r="F43" s="38"/>
      <c r="G43" s="39" t="s">
        <v>180</v>
      </c>
      <c r="H43" s="40" t="s">
        <v>180</v>
      </c>
      <c r="K43" s="41" t="s">
        <v>92</v>
      </c>
    </row>
  </sheetData>
  <phoneticPr fontId="9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BuildSQL">
          <controlPr defaultSize="0" autoLine="0" r:id="rId5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0</xdr:colOff>
                <xdr:row>7</xdr:row>
                <xdr:rowOff>123825</xdr:rowOff>
              </to>
            </anchor>
          </controlPr>
        </control>
      </mc:Choice>
      <mc:Fallback>
        <control shapeId="8193" r:id="rId4" name="BuildSQ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98"/>
  <sheetViews>
    <sheetView zoomScaleNormal="100" workbookViewId="0">
      <selection activeCell="A6" sqref="A6"/>
    </sheetView>
  </sheetViews>
  <sheetFormatPr defaultRowHeight="15.75"/>
  <cols>
    <col min="1" max="1" width="2" style="16" customWidth="1"/>
    <col min="2" max="2" width="4" style="16" customWidth="1"/>
    <col min="3" max="3" width="18.21875" style="16" customWidth="1"/>
    <col min="4" max="4" width="18.109375" style="16" customWidth="1"/>
    <col min="5" max="5" width="13" style="16" customWidth="1"/>
    <col min="6" max="7" width="5.6640625" style="16" customWidth="1"/>
    <col min="8" max="8" width="2.77734375" style="16" customWidth="1"/>
    <col min="9" max="10" width="3.33203125" style="16" customWidth="1"/>
    <col min="11" max="11" width="20" style="16" customWidth="1"/>
    <col min="12" max="16384" width="8.88671875" style="16"/>
  </cols>
  <sheetData>
    <row r="1" spans="2:11" ht="0.75" customHeight="1"/>
    <row r="2" spans="2:11" ht="0.75" customHeight="1"/>
    <row r="3" spans="2:11" ht="0.75" customHeight="1"/>
    <row r="4" spans="2:11" ht="0.75" customHeight="1"/>
    <row r="5" spans="2:11" ht="0.75" customHeight="1"/>
    <row r="7" spans="2:11">
      <c r="B7" s="15" t="s">
        <v>307</v>
      </c>
      <c r="K7" s="15"/>
    </row>
    <row r="8" spans="2:11">
      <c r="B8" s="15"/>
    </row>
    <row r="9" spans="2:11">
      <c r="B9" s="15"/>
      <c r="C9" s="17" t="s">
        <v>308</v>
      </c>
      <c r="D9" s="18" t="s">
        <v>309</v>
      </c>
      <c r="K9" s="19" t="s">
        <v>314</v>
      </c>
    </row>
    <row r="10" spans="2:11">
      <c r="B10" s="15"/>
      <c r="C10" s="17" t="s">
        <v>310</v>
      </c>
      <c r="D10" s="20" t="s">
        <v>311</v>
      </c>
      <c r="E10" s="16" t="s">
        <v>315</v>
      </c>
      <c r="K10" s="50" t="s">
        <v>505</v>
      </c>
    </row>
    <row r="11" spans="2:11">
      <c r="B11" s="15"/>
      <c r="C11" s="17" t="s">
        <v>312</v>
      </c>
      <c r="D11" s="53" t="str">
        <f>D10&amp;"_bk"</f>
        <v>t_recruit_request_sheet_bk</v>
      </c>
      <c r="K11" s="15"/>
    </row>
    <row r="12" spans="2:11" ht="16.5" thickBot="1"/>
    <row r="13" spans="2:11">
      <c r="B13" s="22" t="s">
        <v>172</v>
      </c>
      <c r="C13" s="23" t="s">
        <v>173</v>
      </c>
      <c r="D13" s="23" t="s">
        <v>174</v>
      </c>
      <c r="E13" s="23" t="s">
        <v>175</v>
      </c>
      <c r="F13" s="23" t="s">
        <v>176</v>
      </c>
      <c r="G13" s="23" t="s">
        <v>177</v>
      </c>
      <c r="H13" s="24" t="s">
        <v>66</v>
      </c>
      <c r="K13" s="25" t="s">
        <v>122</v>
      </c>
    </row>
    <row r="14" spans="2:11">
      <c r="B14" s="26">
        <f t="shared" ref="B14:B96" si="0">ROW()-13</f>
        <v>1</v>
      </c>
      <c r="C14" s="27" t="s">
        <v>128</v>
      </c>
      <c r="D14" s="28" t="s">
        <v>129</v>
      </c>
      <c r="E14" s="28" t="s">
        <v>178</v>
      </c>
      <c r="F14" s="28" t="s">
        <v>179</v>
      </c>
      <c r="G14" s="29" t="s">
        <v>180</v>
      </c>
      <c r="H14" s="30"/>
      <c r="K14" s="31" t="s">
        <v>129</v>
      </c>
    </row>
    <row r="15" spans="2:11">
      <c r="B15" s="26">
        <f t="shared" si="0"/>
        <v>2</v>
      </c>
      <c r="C15" s="32" t="s">
        <v>157</v>
      </c>
      <c r="D15" s="28" t="s">
        <v>130</v>
      </c>
      <c r="E15" s="28" t="s">
        <v>181</v>
      </c>
      <c r="F15" s="28" t="s">
        <v>179</v>
      </c>
      <c r="G15" s="29" t="s">
        <v>180</v>
      </c>
      <c r="H15" s="30" t="s">
        <v>182</v>
      </c>
      <c r="K15" s="31" t="s">
        <v>130</v>
      </c>
    </row>
    <row r="16" spans="2:11">
      <c r="B16" s="26">
        <f t="shared" si="0"/>
        <v>3</v>
      </c>
      <c r="C16" s="32" t="s">
        <v>166</v>
      </c>
      <c r="D16" s="28" t="s">
        <v>131</v>
      </c>
      <c r="E16" s="28" t="s">
        <v>183</v>
      </c>
      <c r="F16" s="28" t="s">
        <v>184</v>
      </c>
      <c r="G16" s="29" t="s">
        <v>180</v>
      </c>
      <c r="H16" s="30" t="s">
        <v>180</v>
      </c>
      <c r="K16" s="31" t="s">
        <v>131</v>
      </c>
    </row>
    <row r="17" spans="2:11">
      <c r="B17" s="26">
        <f t="shared" si="0"/>
        <v>4</v>
      </c>
      <c r="C17" s="28" t="s">
        <v>132</v>
      </c>
      <c r="D17" s="28" t="s">
        <v>185</v>
      </c>
      <c r="E17" s="28" t="s">
        <v>183</v>
      </c>
      <c r="F17" s="28" t="s">
        <v>184</v>
      </c>
      <c r="G17" s="29" t="s">
        <v>186</v>
      </c>
      <c r="H17" s="30" t="s">
        <v>187</v>
      </c>
      <c r="K17" s="31" t="s">
        <v>185</v>
      </c>
    </row>
    <row r="18" spans="2:11">
      <c r="B18" s="26">
        <f t="shared" si="0"/>
        <v>5</v>
      </c>
      <c r="C18" s="28" t="s">
        <v>133</v>
      </c>
      <c r="D18" s="33" t="s">
        <v>134</v>
      </c>
      <c r="E18" s="28" t="s">
        <v>183</v>
      </c>
      <c r="F18" s="28" t="s">
        <v>188</v>
      </c>
      <c r="G18" s="29" t="s">
        <v>186</v>
      </c>
      <c r="H18" s="30" t="s">
        <v>189</v>
      </c>
      <c r="K18" s="34" t="s">
        <v>134</v>
      </c>
    </row>
    <row r="19" spans="2:11">
      <c r="B19" s="26">
        <f t="shared" si="0"/>
        <v>6</v>
      </c>
      <c r="C19" s="28" t="s">
        <v>135</v>
      </c>
      <c r="D19" s="28" t="s">
        <v>136</v>
      </c>
      <c r="E19" s="28" t="s">
        <v>190</v>
      </c>
      <c r="F19" s="28"/>
      <c r="G19" s="29"/>
      <c r="H19" s="30" t="s">
        <v>191</v>
      </c>
      <c r="K19" s="31" t="s">
        <v>136</v>
      </c>
    </row>
    <row r="20" spans="2:11">
      <c r="B20" s="26">
        <f t="shared" si="0"/>
        <v>7</v>
      </c>
      <c r="C20" s="28" t="s">
        <v>137</v>
      </c>
      <c r="D20" s="28" t="s">
        <v>138</v>
      </c>
      <c r="E20" s="28" t="s">
        <v>192</v>
      </c>
      <c r="F20" s="28"/>
      <c r="G20" s="29" t="s">
        <v>186</v>
      </c>
      <c r="H20" s="30" t="s">
        <v>193</v>
      </c>
      <c r="K20" s="31" t="s">
        <v>138</v>
      </c>
    </row>
    <row r="21" spans="2:11">
      <c r="B21" s="26">
        <f t="shared" si="0"/>
        <v>8</v>
      </c>
      <c r="C21" s="28" t="s">
        <v>139</v>
      </c>
      <c r="D21" s="28" t="s">
        <v>140</v>
      </c>
      <c r="E21" s="28" t="s">
        <v>194</v>
      </c>
      <c r="F21" s="28"/>
      <c r="G21" s="29" t="s">
        <v>180</v>
      </c>
      <c r="H21" s="30" t="s">
        <v>193</v>
      </c>
      <c r="K21" s="31" t="s">
        <v>140</v>
      </c>
    </row>
    <row r="22" spans="2:11">
      <c r="B22" s="26">
        <f t="shared" si="0"/>
        <v>9</v>
      </c>
      <c r="C22" s="28" t="s">
        <v>167</v>
      </c>
      <c r="D22" s="28" t="s">
        <v>117</v>
      </c>
      <c r="E22" s="28" t="s">
        <v>195</v>
      </c>
      <c r="F22" s="28"/>
      <c r="G22" s="29" t="s">
        <v>180</v>
      </c>
      <c r="H22" s="30" t="s">
        <v>180</v>
      </c>
      <c r="K22" s="31" t="s">
        <v>117</v>
      </c>
    </row>
    <row r="23" spans="2:11">
      <c r="B23" s="26">
        <f t="shared" si="0"/>
        <v>10</v>
      </c>
      <c r="C23" s="28" t="s">
        <v>196</v>
      </c>
      <c r="D23" s="28" t="s">
        <v>197</v>
      </c>
      <c r="E23" s="28" t="s">
        <v>195</v>
      </c>
      <c r="F23" s="28"/>
      <c r="G23" s="29" t="s">
        <v>180</v>
      </c>
      <c r="H23" s="30" t="s">
        <v>198</v>
      </c>
      <c r="K23" s="31" t="s">
        <v>197</v>
      </c>
    </row>
    <row r="24" spans="2:11">
      <c r="B24" s="26">
        <f t="shared" si="0"/>
        <v>11</v>
      </c>
      <c r="C24" s="28" t="s">
        <v>142</v>
      </c>
      <c r="D24" s="28" t="s">
        <v>143</v>
      </c>
      <c r="E24" s="28" t="s">
        <v>195</v>
      </c>
      <c r="F24" s="28"/>
      <c r="G24" s="29" t="s">
        <v>180</v>
      </c>
      <c r="H24" s="30" t="s">
        <v>180</v>
      </c>
      <c r="K24" s="31" t="s">
        <v>143</v>
      </c>
    </row>
    <row r="25" spans="2:11">
      <c r="B25" s="26">
        <f t="shared" si="0"/>
        <v>12</v>
      </c>
      <c r="C25" s="28" t="s">
        <v>97</v>
      </c>
      <c r="D25" s="28" t="s">
        <v>199</v>
      </c>
      <c r="E25" s="28" t="s">
        <v>195</v>
      </c>
      <c r="F25" s="28"/>
      <c r="G25" s="29" t="s">
        <v>180</v>
      </c>
      <c r="H25" s="30" t="s">
        <v>180</v>
      </c>
      <c r="K25" s="31" t="s">
        <v>199</v>
      </c>
    </row>
    <row r="26" spans="2:11">
      <c r="B26" s="26">
        <f t="shared" si="0"/>
        <v>13</v>
      </c>
      <c r="C26" s="28" t="s">
        <v>99</v>
      </c>
      <c r="D26" s="28" t="s">
        <v>100</v>
      </c>
      <c r="E26" s="28" t="s">
        <v>195</v>
      </c>
      <c r="F26" s="28"/>
      <c r="G26" s="29" t="s">
        <v>180</v>
      </c>
      <c r="H26" s="30" t="s">
        <v>200</v>
      </c>
      <c r="K26" s="31" t="s">
        <v>100</v>
      </c>
    </row>
    <row r="27" spans="2:11">
      <c r="B27" s="26">
        <f t="shared" si="0"/>
        <v>14</v>
      </c>
      <c r="C27" s="28" t="s">
        <v>102</v>
      </c>
      <c r="D27" s="28" t="s">
        <v>107</v>
      </c>
      <c r="E27" s="28" t="s">
        <v>183</v>
      </c>
      <c r="F27" s="28"/>
      <c r="G27" s="29" t="s">
        <v>202</v>
      </c>
      <c r="H27" s="30" t="s">
        <v>203</v>
      </c>
      <c r="K27" s="31" t="s">
        <v>107</v>
      </c>
    </row>
    <row r="28" spans="2:11">
      <c r="B28" s="26">
        <f t="shared" si="0"/>
        <v>15</v>
      </c>
      <c r="C28" s="28" t="s">
        <v>145</v>
      </c>
      <c r="D28" s="28" t="s">
        <v>33</v>
      </c>
      <c r="E28" s="28" t="s">
        <v>194</v>
      </c>
      <c r="F28" s="28"/>
      <c r="G28" s="29" t="s">
        <v>180</v>
      </c>
      <c r="H28" s="30" t="s">
        <v>193</v>
      </c>
      <c r="K28" s="31" t="s">
        <v>33</v>
      </c>
    </row>
    <row r="29" spans="2:11">
      <c r="B29" s="26">
        <f t="shared" si="0"/>
        <v>16</v>
      </c>
      <c r="C29" s="28" t="s">
        <v>168</v>
      </c>
      <c r="D29" s="28" t="s">
        <v>146</v>
      </c>
      <c r="E29" s="28" t="s">
        <v>192</v>
      </c>
      <c r="F29" s="28"/>
      <c r="G29" s="29" t="s">
        <v>204</v>
      </c>
      <c r="H29" s="30"/>
      <c r="K29" s="31" t="s">
        <v>146</v>
      </c>
    </row>
    <row r="30" spans="2:11">
      <c r="B30" s="67">
        <f t="shared" si="0"/>
        <v>17</v>
      </c>
      <c r="C30" s="68" t="s">
        <v>414</v>
      </c>
      <c r="D30" s="68" t="s">
        <v>415</v>
      </c>
      <c r="E30" s="68" t="s">
        <v>416</v>
      </c>
      <c r="F30" s="28"/>
      <c r="G30" s="29"/>
      <c r="H30" s="30"/>
      <c r="K30" s="31" t="s">
        <v>204</v>
      </c>
    </row>
    <row r="31" spans="2:11">
      <c r="B31" s="67">
        <f t="shared" si="0"/>
        <v>18</v>
      </c>
      <c r="C31" s="68" t="s">
        <v>417</v>
      </c>
      <c r="D31" s="68" t="s">
        <v>418</v>
      </c>
      <c r="E31" s="68" t="s">
        <v>416</v>
      </c>
      <c r="F31" s="28"/>
      <c r="G31" s="29"/>
      <c r="H31" s="30"/>
      <c r="K31" s="31" t="s">
        <v>204</v>
      </c>
    </row>
    <row r="32" spans="2:11">
      <c r="B32" s="69">
        <f t="shared" si="0"/>
        <v>19</v>
      </c>
      <c r="C32" s="70" t="s">
        <v>419</v>
      </c>
      <c r="D32" s="68" t="s">
        <v>420</v>
      </c>
      <c r="E32" s="70" t="s">
        <v>416</v>
      </c>
      <c r="F32" s="28"/>
      <c r="G32" s="29"/>
      <c r="H32" s="30"/>
      <c r="K32" s="31" t="s">
        <v>204</v>
      </c>
    </row>
    <row r="33" spans="2:11">
      <c r="B33" s="26">
        <f t="shared" si="0"/>
        <v>20</v>
      </c>
      <c r="C33" s="28" t="s">
        <v>147</v>
      </c>
      <c r="D33" s="28" t="s">
        <v>148</v>
      </c>
      <c r="E33" s="28" t="s">
        <v>183</v>
      </c>
      <c r="F33" s="28"/>
      <c r="G33" s="29"/>
      <c r="H33" s="30" t="s">
        <v>205</v>
      </c>
      <c r="K33" s="31" t="s">
        <v>148</v>
      </c>
    </row>
    <row r="34" spans="2:11">
      <c r="B34" s="26">
        <f t="shared" si="0"/>
        <v>21</v>
      </c>
      <c r="C34" s="28" t="s">
        <v>169</v>
      </c>
      <c r="D34" s="28" t="s">
        <v>149</v>
      </c>
      <c r="E34" s="28" t="s">
        <v>194</v>
      </c>
      <c r="F34" s="28"/>
      <c r="G34" s="29" t="s">
        <v>180</v>
      </c>
      <c r="H34" s="30" t="s">
        <v>193</v>
      </c>
      <c r="K34" s="31" t="s">
        <v>149</v>
      </c>
    </row>
    <row r="35" spans="2:11">
      <c r="B35" s="26">
        <f t="shared" si="0"/>
        <v>22</v>
      </c>
      <c r="C35" s="28" t="s">
        <v>150</v>
      </c>
      <c r="D35" s="28" t="s">
        <v>151</v>
      </c>
      <c r="E35" s="28" t="s">
        <v>206</v>
      </c>
      <c r="F35" s="28"/>
      <c r="G35" s="29"/>
      <c r="H35" s="30"/>
      <c r="K35" s="31" t="s">
        <v>151</v>
      </c>
    </row>
    <row r="36" spans="2:11">
      <c r="B36" s="26">
        <f t="shared" si="0"/>
        <v>23</v>
      </c>
      <c r="C36" s="28" t="s">
        <v>152</v>
      </c>
      <c r="D36" s="28" t="s">
        <v>153</v>
      </c>
      <c r="E36" s="28" t="s">
        <v>206</v>
      </c>
      <c r="F36" s="28"/>
      <c r="G36" s="29"/>
      <c r="H36" s="30"/>
      <c r="K36" s="31" t="s">
        <v>153</v>
      </c>
    </row>
    <row r="37" spans="2:11" ht="34.5" customHeight="1">
      <c r="B37" s="26">
        <f t="shared" si="0"/>
        <v>24</v>
      </c>
      <c r="C37" s="28" t="s">
        <v>165</v>
      </c>
      <c r="D37" s="32" t="s">
        <v>170</v>
      </c>
      <c r="E37" s="28" t="s">
        <v>206</v>
      </c>
      <c r="F37" s="28"/>
      <c r="G37" s="29"/>
      <c r="H37" s="35" t="s">
        <v>207</v>
      </c>
      <c r="K37" s="41" t="s">
        <v>124</v>
      </c>
    </row>
    <row r="38" spans="2:11">
      <c r="B38" s="26">
        <f t="shared" si="0"/>
        <v>25</v>
      </c>
      <c r="C38" s="28" t="s">
        <v>162</v>
      </c>
      <c r="D38" s="28" t="s">
        <v>171</v>
      </c>
      <c r="E38" s="28" t="s">
        <v>194</v>
      </c>
      <c r="F38" s="28"/>
      <c r="G38" s="29" t="s">
        <v>180</v>
      </c>
      <c r="H38" s="30" t="s">
        <v>180</v>
      </c>
      <c r="K38" s="31" t="s">
        <v>171</v>
      </c>
    </row>
    <row r="39" spans="2:11">
      <c r="B39" s="37">
        <f t="shared" si="0"/>
        <v>26</v>
      </c>
      <c r="C39" s="38" t="s">
        <v>208</v>
      </c>
      <c r="D39" s="38" t="s">
        <v>209</v>
      </c>
      <c r="E39" s="38" t="s">
        <v>183</v>
      </c>
      <c r="F39" s="38"/>
      <c r="G39" s="39" t="s">
        <v>180</v>
      </c>
      <c r="H39" s="40" t="s">
        <v>210</v>
      </c>
      <c r="K39" s="41" t="s">
        <v>124</v>
      </c>
    </row>
    <row r="40" spans="2:11">
      <c r="B40" s="37">
        <f t="shared" si="0"/>
        <v>27</v>
      </c>
      <c r="C40" s="38" t="s">
        <v>211</v>
      </c>
      <c r="D40" s="38" t="s">
        <v>212</v>
      </c>
      <c r="E40" s="38" t="s">
        <v>183</v>
      </c>
      <c r="F40" s="38"/>
      <c r="G40" s="39" t="s">
        <v>180</v>
      </c>
      <c r="H40" s="40" t="s">
        <v>210</v>
      </c>
      <c r="K40" s="41" t="s">
        <v>124</v>
      </c>
    </row>
    <row r="41" spans="2:11">
      <c r="B41" s="37">
        <f t="shared" si="0"/>
        <v>28</v>
      </c>
      <c r="C41" s="38" t="s">
        <v>213</v>
      </c>
      <c r="D41" s="38" t="s">
        <v>214</v>
      </c>
      <c r="E41" s="38" t="s">
        <v>183</v>
      </c>
      <c r="F41" s="38"/>
      <c r="G41" s="39" t="s">
        <v>180</v>
      </c>
      <c r="H41" s="40" t="s">
        <v>210</v>
      </c>
      <c r="K41" s="41" t="s">
        <v>124</v>
      </c>
    </row>
    <row r="42" spans="2:11">
      <c r="B42" s="37">
        <f t="shared" si="0"/>
        <v>29</v>
      </c>
      <c r="C42" s="38" t="s">
        <v>215</v>
      </c>
      <c r="D42" s="38" t="s">
        <v>216</v>
      </c>
      <c r="E42" s="38" t="s">
        <v>206</v>
      </c>
      <c r="F42" s="38"/>
      <c r="G42" s="39" t="s">
        <v>180</v>
      </c>
      <c r="H42" s="40" t="s">
        <v>210</v>
      </c>
      <c r="K42" s="41" t="s">
        <v>124</v>
      </c>
    </row>
    <row r="43" spans="2:11">
      <c r="B43" s="37">
        <f t="shared" si="0"/>
        <v>30</v>
      </c>
      <c r="C43" s="38" t="s">
        <v>217</v>
      </c>
      <c r="D43" s="38" t="s">
        <v>218</v>
      </c>
      <c r="E43" s="38" t="s">
        <v>206</v>
      </c>
      <c r="F43" s="38"/>
      <c r="G43" s="39" t="s">
        <v>180</v>
      </c>
      <c r="H43" s="40" t="s">
        <v>210</v>
      </c>
      <c r="K43" s="41" t="s">
        <v>124</v>
      </c>
    </row>
    <row r="44" spans="2:11">
      <c r="B44" s="37">
        <f t="shared" si="0"/>
        <v>31</v>
      </c>
      <c r="C44" s="38" t="s">
        <v>219</v>
      </c>
      <c r="D44" s="38" t="s">
        <v>220</v>
      </c>
      <c r="E44" s="38" t="s">
        <v>206</v>
      </c>
      <c r="F44" s="38"/>
      <c r="G44" s="39" t="s">
        <v>180</v>
      </c>
      <c r="H44" s="40" t="s">
        <v>210</v>
      </c>
      <c r="K44" s="41" t="s">
        <v>124</v>
      </c>
    </row>
    <row r="45" spans="2:11">
      <c r="B45" s="37">
        <f t="shared" si="0"/>
        <v>32</v>
      </c>
      <c r="C45" s="38" t="s">
        <v>221</v>
      </c>
      <c r="D45" s="38" t="s">
        <v>222</v>
      </c>
      <c r="E45" s="38" t="s">
        <v>206</v>
      </c>
      <c r="F45" s="38"/>
      <c r="G45" s="39" t="s">
        <v>180</v>
      </c>
      <c r="H45" s="40" t="s">
        <v>210</v>
      </c>
      <c r="K45" s="41" t="s">
        <v>124</v>
      </c>
    </row>
    <row r="46" spans="2:11">
      <c r="B46" s="37">
        <f t="shared" si="0"/>
        <v>33</v>
      </c>
      <c r="C46" s="38" t="s">
        <v>223</v>
      </c>
      <c r="D46" s="38" t="s">
        <v>224</v>
      </c>
      <c r="E46" s="38" t="s">
        <v>206</v>
      </c>
      <c r="F46" s="38"/>
      <c r="G46" s="39" t="s">
        <v>180</v>
      </c>
      <c r="H46" s="40" t="s">
        <v>210</v>
      </c>
      <c r="K46" s="41" t="s">
        <v>124</v>
      </c>
    </row>
    <row r="47" spans="2:11">
      <c r="B47" s="37">
        <f t="shared" si="0"/>
        <v>34</v>
      </c>
      <c r="C47" s="38" t="s">
        <v>225</v>
      </c>
      <c r="D47" s="38" t="s">
        <v>226</v>
      </c>
      <c r="E47" s="38" t="s">
        <v>206</v>
      </c>
      <c r="F47" s="38"/>
      <c r="G47" s="39" t="s">
        <v>180</v>
      </c>
      <c r="H47" s="40" t="s">
        <v>210</v>
      </c>
      <c r="K47" s="41" t="s">
        <v>124</v>
      </c>
    </row>
    <row r="48" spans="2:11">
      <c r="B48" s="37">
        <f t="shared" si="0"/>
        <v>35</v>
      </c>
      <c r="C48" s="38" t="s">
        <v>227</v>
      </c>
      <c r="D48" s="38" t="s">
        <v>228</v>
      </c>
      <c r="E48" s="38" t="s">
        <v>206</v>
      </c>
      <c r="F48" s="38"/>
      <c r="G48" s="39" t="s">
        <v>180</v>
      </c>
      <c r="H48" s="40" t="s">
        <v>210</v>
      </c>
      <c r="K48" s="41" t="s">
        <v>124</v>
      </c>
    </row>
    <row r="49" spans="2:11">
      <c r="B49" s="37">
        <f t="shared" si="0"/>
        <v>36</v>
      </c>
      <c r="C49" s="38" t="s">
        <v>229</v>
      </c>
      <c r="D49" s="38" t="s">
        <v>230</v>
      </c>
      <c r="E49" s="38" t="s">
        <v>206</v>
      </c>
      <c r="F49" s="38"/>
      <c r="G49" s="39" t="s">
        <v>180</v>
      </c>
      <c r="H49" s="40" t="s">
        <v>210</v>
      </c>
      <c r="K49" s="41" t="s">
        <v>124</v>
      </c>
    </row>
    <row r="50" spans="2:11">
      <c r="B50" s="37">
        <f t="shared" si="0"/>
        <v>37</v>
      </c>
      <c r="C50" s="38" t="s">
        <v>231</v>
      </c>
      <c r="D50" s="38" t="s">
        <v>232</v>
      </c>
      <c r="E50" s="38" t="s">
        <v>206</v>
      </c>
      <c r="F50" s="38"/>
      <c r="G50" s="39" t="s">
        <v>180</v>
      </c>
      <c r="H50" s="40" t="s">
        <v>210</v>
      </c>
      <c r="K50" s="41" t="s">
        <v>124</v>
      </c>
    </row>
    <row r="51" spans="2:11">
      <c r="B51" s="37">
        <f t="shared" si="0"/>
        <v>38</v>
      </c>
      <c r="C51" s="38" t="s">
        <v>233</v>
      </c>
      <c r="D51" s="38" t="s">
        <v>234</v>
      </c>
      <c r="E51" s="38" t="s">
        <v>206</v>
      </c>
      <c r="F51" s="38"/>
      <c r="G51" s="39" t="s">
        <v>180</v>
      </c>
      <c r="H51" s="40" t="s">
        <v>210</v>
      </c>
      <c r="K51" s="41" t="s">
        <v>124</v>
      </c>
    </row>
    <row r="52" spans="2:11">
      <c r="B52" s="37">
        <f t="shared" si="0"/>
        <v>39</v>
      </c>
      <c r="C52" s="38" t="s">
        <v>235</v>
      </c>
      <c r="D52" s="38" t="s">
        <v>236</v>
      </c>
      <c r="E52" s="38" t="s">
        <v>206</v>
      </c>
      <c r="F52" s="38"/>
      <c r="G52" s="39" t="s">
        <v>180</v>
      </c>
      <c r="H52" s="40" t="s">
        <v>210</v>
      </c>
      <c r="K52" s="41" t="s">
        <v>124</v>
      </c>
    </row>
    <row r="53" spans="2:11">
      <c r="B53" s="37">
        <f t="shared" si="0"/>
        <v>40</v>
      </c>
      <c r="C53" s="38" t="s">
        <v>237</v>
      </c>
      <c r="D53" s="38" t="s">
        <v>238</v>
      </c>
      <c r="E53" s="38" t="s">
        <v>206</v>
      </c>
      <c r="F53" s="38"/>
      <c r="G53" s="39" t="s">
        <v>180</v>
      </c>
      <c r="H53" s="40" t="s">
        <v>210</v>
      </c>
      <c r="K53" s="41" t="s">
        <v>124</v>
      </c>
    </row>
    <row r="54" spans="2:11">
      <c r="B54" s="37">
        <f t="shared" si="0"/>
        <v>41</v>
      </c>
      <c r="C54" s="38" t="s">
        <v>239</v>
      </c>
      <c r="D54" s="38" t="s">
        <v>240</v>
      </c>
      <c r="E54" s="38" t="s">
        <v>206</v>
      </c>
      <c r="F54" s="38"/>
      <c r="G54" s="39" t="s">
        <v>180</v>
      </c>
      <c r="H54" s="40" t="s">
        <v>210</v>
      </c>
      <c r="K54" s="41" t="s">
        <v>124</v>
      </c>
    </row>
    <row r="55" spans="2:11">
      <c r="B55" s="37">
        <f t="shared" si="0"/>
        <v>42</v>
      </c>
      <c r="C55" s="38" t="s">
        <v>241</v>
      </c>
      <c r="D55" s="38" t="s">
        <v>242</v>
      </c>
      <c r="E55" s="38" t="s">
        <v>206</v>
      </c>
      <c r="F55" s="38"/>
      <c r="G55" s="39" t="s">
        <v>180</v>
      </c>
      <c r="H55" s="40" t="s">
        <v>210</v>
      </c>
      <c r="K55" s="41" t="s">
        <v>124</v>
      </c>
    </row>
    <row r="56" spans="2:11">
      <c r="B56" s="37">
        <f t="shared" si="0"/>
        <v>43</v>
      </c>
      <c r="C56" s="38" t="s">
        <v>243</v>
      </c>
      <c r="D56" s="38" t="s">
        <v>244</v>
      </c>
      <c r="E56" s="38" t="s">
        <v>206</v>
      </c>
      <c r="F56" s="38"/>
      <c r="G56" s="39" t="s">
        <v>180</v>
      </c>
      <c r="H56" s="40" t="s">
        <v>210</v>
      </c>
      <c r="K56" s="41" t="s">
        <v>124</v>
      </c>
    </row>
    <row r="57" spans="2:11">
      <c r="B57" s="37">
        <f t="shared" si="0"/>
        <v>44</v>
      </c>
      <c r="C57" s="38" t="s">
        <v>245</v>
      </c>
      <c r="D57" s="38" t="s">
        <v>246</v>
      </c>
      <c r="E57" s="38" t="s">
        <v>206</v>
      </c>
      <c r="F57" s="38"/>
      <c r="G57" s="39" t="s">
        <v>180</v>
      </c>
      <c r="H57" s="40" t="s">
        <v>210</v>
      </c>
      <c r="K57" s="41" t="s">
        <v>124</v>
      </c>
    </row>
    <row r="58" spans="2:11">
      <c r="B58" s="37">
        <f t="shared" si="0"/>
        <v>45</v>
      </c>
      <c r="C58" s="38" t="s">
        <v>247</v>
      </c>
      <c r="D58" s="38" t="s">
        <v>248</v>
      </c>
      <c r="E58" s="38" t="s">
        <v>206</v>
      </c>
      <c r="F58" s="38"/>
      <c r="G58" s="39" t="s">
        <v>180</v>
      </c>
      <c r="H58" s="40" t="s">
        <v>210</v>
      </c>
      <c r="K58" s="41" t="s">
        <v>124</v>
      </c>
    </row>
    <row r="59" spans="2:11">
      <c r="B59" s="37">
        <f t="shared" si="0"/>
        <v>46</v>
      </c>
      <c r="C59" s="38" t="s">
        <v>249</v>
      </c>
      <c r="D59" s="38" t="s">
        <v>250</v>
      </c>
      <c r="E59" s="38" t="s">
        <v>206</v>
      </c>
      <c r="F59" s="38"/>
      <c r="G59" s="39" t="s">
        <v>180</v>
      </c>
      <c r="H59" s="40" t="s">
        <v>210</v>
      </c>
      <c r="K59" s="41" t="s">
        <v>124</v>
      </c>
    </row>
    <row r="60" spans="2:11">
      <c r="B60" s="37">
        <f t="shared" si="0"/>
        <v>47</v>
      </c>
      <c r="C60" s="38" t="s">
        <v>251</v>
      </c>
      <c r="D60" s="38" t="s">
        <v>252</v>
      </c>
      <c r="E60" s="38" t="s">
        <v>206</v>
      </c>
      <c r="F60" s="38"/>
      <c r="G60" s="39" t="s">
        <v>180</v>
      </c>
      <c r="H60" s="40" t="s">
        <v>210</v>
      </c>
      <c r="K60" s="41" t="s">
        <v>124</v>
      </c>
    </row>
    <row r="61" spans="2:11">
      <c r="B61" s="37">
        <f t="shared" si="0"/>
        <v>48</v>
      </c>
      <c r="C61" s="38" t="s">
        <v>253</v>
      </c>
      <c r="D61" s="38" t="s">
        <v>254</v>
      </c>
      <c r="E61" s="38" t="s">
        <v>206</v>
      </c>
      <c r="F61" s="38"/>
      <c r="G61" s="39" t="s">
        <v>180</v>
      </c>
      <c r="H61" s="40" t="s">
        <v>210</v>
      </c>
      <c r="K61" s="41" t="s">
        <v>124</v>
      </c>
    </row>
    <row r="62" spans="2:11">
      <c r="B62" s="37">
        <f t="shared" si="0"/>
        <v>49</v>
      </c>
      <c r="C62" s="38" t="s">
        <v>255</v>
      </c>
      <c r="D62" s="38" t="s">
        <v>256</v>
      </c>
      <c r="E62" s="38" t="s">
        <v>183</v>
      </c>
      <c r="F62" s="38"/>
      <c r="G62" s="39" t="s">
        <v>180</v>
      </c>
      <c r="H62" s="40" t="s">
        <v>210</v>
      </c>
      <c r="K62" s="41" t="s">
        <v>124</v>
      </c>
    </row>
    <row r="63" spans="2:11">
      <c r="B63" s="37">
        <f t="shared" si="0"/>
        <v>50</v>
      </c>
      <c r="C63" s="38" t="s">
        <v>257</v>
      </c>
      <c r="D63" s="38" t="s">
        <v>258</v>
      </c>
      <c r="E63" s="38" t="s">
        <v>183</v>
      </c>
      <c r="F63" s="38"/>
      <c r="G63" s="39" t="s">
        <v>180</v>
      </c>
      <c r="H63" s="40" t="s">
        <v>210</v>
      </c>
      <c r="K63" s="41" t="s">
        <v>124</v>
      </c>
    </row>
    <row r="64" spans="2:11">
      <c r="B64" s="37">
        <f t="shared" si="0"/>
        <v>51</v>
      </c>
      <c r="C64" s="38" t="s">
        <v>259</v>
      </c>
      <c r="D64" s="38" t="s">
        <v>260</v>
      </c>
      <c r="E64" s="38" t="s">
        <v>183</v>
      </c>
      <c r="F64" s="38"/>
      <c r="G64" s="39" t="s">
        <v>180</v>
      </c>
      <c r="H64" s="40" t="s">
        <v>210</v>
      </c>
      <c r="K64" s="41" t="s">
        <v>124</v>
      </c>
    </row>
    <row r="65" spans="2:11">
      <c r="B65" s="37">
        <f t="shared" si="0"/>
        <v>52</v>
      </c>
      <c r="C65" s="38" t="s">
        <v>261</v>
      </c>
      <c r="D65" s="38" t="s">
        <v>262</v>
      </c>
      <c r="E65" s="38" t="s">
        <v>183</v>
      </c>
      <c r="F65" s="38"/>
      <c r="G65" s="39" t="s">
        <v>180</v>
      </c>
      <c r="H65" s="40" t="s">
        <v>210</v>
      </c>
      <c r="K65" s="41" t="s">
        <v>124</v>
      </c>
    </row>
    <row r="66" spans="2:11">
      <c r="B66" s="37">
        <f t="shared" si="0"/>
        <v>53</v>
      </c>
      <c r="C66" s="71" t="s">
        <v>502</v>
      </c>
      <c r="D66" s="71" t="s">
        <v>503</v>
      </c>
      <c r="E66" s="71" t="s">
        <v>504</v>
      </c>
      <c r="F66" s="38"/>
      <c r="G66" s="39" t="s">
        <v>180</v>
      </c>
      <c r="H66" s="40" t="s">
        <v>210</v>
      </c>
      <c r="K66" s="41" t="s">
        <v>124</v>
      </c>
    </row>
    <row r="67" spans="2:11">
      <c r="B67" s="37">
        <f t="shared" si="0"/>
        <v>54</v>
      </c>
      <c r="C67" s="38" t="s">
        <v>263</v>
      </c>
      <c r="D67" s="38" t="s">
        <v>264</v>
      </c>
      <c r="E67" s="38" t="s">
        <v>183</v>
      </c>
      <c r="F67" s="38"/>
      <c r="G67" s="39" t="s">
        <v>180</v>
      </c>
      <c r="H67" s="40" t="s">
        <v>210</v>
      </c>
      <c r="K67" s="41" t="s">
        <v>124</v>
      </c>
    </row>
    <row r="68" spans="2:11">
      <c r="B68" s="37">
        <f t="shared" si="0"/>
        <v>55</v>
      </c>
      <c r="C68" s="38" t="s">
        <v>265</v>
      </c>
      <c r="D68" s="38" t="s">
        <v>266</v>
      </c>
      <c r="E68" s="38" t="s">
        <v>206</v>
      </c>
      <c r="F68" s="38"/>
      <c r="G68" s="39" t="s">
        <v>180</v>
      </c>
      <c r="H68" s="40" t="s">
        <v>210</v>
      </c>
      <c r="K68" s="41" t="s">
        <v>124</v>
      </c>
    </row>
    <row r="69" spans="2:11">
      <c r="B69" s="37">
        <f t="shared" si="0"/>
        <v>56</v>
      </c>
      <c r="C69" s="38" t="s">
        <v>267</v>
      </c>
      <c r="D69" s="38" t="s">
        <v>268</v>
      </c>
      <c r="E69" s="38" t="s">
        <v>183</v>
      </c>
      <c r="F69" s="38"/>
      <c r="G69" s="39" t="s">
        <v>180</v>
      </c>
      <c r="H69" s="40" t="s">
        <v>210</v>
      </c>
      <c r="K69" s="41" t="s">
        <v>124</v>
      </c>
    </row>
    <row r="70" spans="2:11">
      <c r="B70" s="37">
        <f t="shared" si="0"/>
        <v>57</v>
      </c>
      <c r="C70" s="38" t="s">
        <v>269</v>
      </c>
      <c r="D70" s="38" t="s">
        <v>270</v>
      </c>
      <c r="E70" s="38" t="s">
        <v>206</v>
      </c>
      <c r="F70" s="38"/>
      <c r="G70" s="39" t="s">
        <v>180</v>
      </c>
      <c r="H70" s="40" t="s">
        <v>210</v>
      </c>
      <c r="K70" s="41" t="s">
        <v>124</v>
      </c>
    </row>
    <row r="71" spans="2:11">
      <c r="B71" s="37">
        <f t="shared" si="0"/>
        <v>58</v>
      </c>
      <c r="C71" s="38" t="s">
        <v>271</v>
      </c>
      <c r="D71" s="38" t="s">
        <v>272</v>
      </c>
      <c r="E71" s="38" t="s">
        <v>183</v>
      </c>
      <c r="F71" s="38"/>
      <c r="G71" s="39" t="s">
        <v>180</v>
      </c>
      <c r="H71" s="40" t="s">
        <v>210</v>
      </c>
      <c r="K71" s="41" t="s">
        <v>124</v>
      </c>
    </row>
    <row r="72" spans="2:11">
      <c r="B72" s="37">
        <f t="shared" si="0"/>
        <v>59</v>
      </c>
      <c r="C72" s="38" t="s">
        <v>273</v>
      </c>
      <c r="D72" s="38" t="s">
        <v>274</v>
      </c>
      <c r="E72" s="38" t="s">
        <v>183</v>
      </c>
      <c r="F72" s="38"/>
      <c r="G72" s="39" t="s">
        <v>180</v>
      </c>
      <c r="H72" s="40" t="s">
        <v>210</v>
      </c>
      <c r="K72" s="41" t="s">
        <v>124</v>
      </c>
    </row>
    <row r="73" spans="2:11">
      <c r="B73" s="37">
        <f t="shared" si="0"/>
        <v>60</v>
      </c>
      <c r="C73" s="38" t="s">
        <v>275</v>
      </c>
      <c r="D73" s="38" t="s">
        <v>276</v>
      </c>
      <c r="E73" s="38" t="s">
        <v>277</v>
      </c>
      <c r="F73" s="38"/>
      <c r="G73" s="39" t="s">
        <v>180</v>
      </c>
      <c r="H73" s="40" t="s">
        <v>210</v>
      </c>
      <c r="K73" s="41" t="s">
        <v>124</v>
      </c>
    </row>
    <row r="74" spans="2:11">
      <c r="B74" s="37">
        <f t="shared" si="0"/>
        <v>61</v>
      </c>
      <c r="C74" s="38" t="s">
        <v>278</v>
      </c>
      <c r="D74" s="38" t="s">
        <v>279</v>
      </c>
      <c r="E74" s="38" t="s">
        <v>277</v>
      </c>
      <c r="F74" s="38"/>
      <c r="G74" s="39" t="s">
        <v>180</v>
      </c>
      <c r="H74" s="40" t="s">
        <v>210</v>
      </c>
      <c r="K74" s="41" t="s">
        <v>124</v>
      </c>
    </row>
    <row r="75" spans="2:11">
      <c r="B75" s="37">
        <f t="shared" si="0"/>
        <v>62</v>
      </c>
      <c r="C75" s="38" t="s">
        <v>280</v>
      </c>
      <c r="D75" s="38" t="s">
        <v>281</v>
      </c>
      <c r="E75" s="38" t="s">
        <v>277</v>
      </c>
      <c r="F75" s="38"/>
      <c r="G75" s="39" t="s">
        <v>180</v>
      </c>
      <c r="H75" s="40" t="s">
        <v>210</v>
      </c>
      <c r="K75" s="41" t="s">
        <v>124</v>
      </c>
    </row>
    <row r="76" spans="2:11">
      <c r="B76" s="37">
        <f t="shared" si="0"/>
        <v>63</v>
      </c>
      <c r="C76" s="38" t="s">
        <v>282</v>
      </c>
      <c r="D76" s="38" t="s">
        <v>283</v>
      </c>
      <c r="E76" s="38" t="s">
        <v>277</v>
      </c>
      <c r="F76" s="38"/>
      <c r="G76" s="39" t="s">
        <v>180</v>
      </c>
      <c r="H76" s="40" t="s">
        <v>210</v>
      </c>
      <c r="K76" s="41" t="s">
        <v>124</v>
      </c>
    </row>
    <row r="77" spans="2:11">
      <c r="B77" s="37">
        <f t="shared" si="0"/>
        <v>64</v>
      </c>
      <c r="C77" s="38" t="s">
        <v>284</v>
      </c>
      <c r="D77" s="38" t="s">
        <v>285</v>
      </c>
      <c r="E77" s="38" t="s">
        <v>183</v>
      </c>
      <c r="F77" s="38"/>
      <c r="G77" s="39" t="s">
        <v>180</v>
      </c>
      <c r="H77" s="40" t="s">
        <v>210</v>
      </c>
      <c r="K77" s="41" t="s">
        <v>124</v>
      </c>
    </row>
    <row r="78" spans="2:11">
      <c r="B78" s="37">
        <f t="shared" si="0"/>
        <v>65</v>
      </c>
      <c r="C78" s="38" t="s">
        <v>286</v>
      </c>
      <c r="D78" s="38" t="s">
        <v>287</v>
      </c>
      <c r="E78" s="38" t="s">
        <v>183</v>
      </c>
      <c r="F78" s="38"/>
      <c r="G78" s="39" t="s">
        <v>180</v>
      </c>
      <c r="H78" s="40" t="s">
        <v>210</v>
      </c>
      <c r="K78" s="41" t="s">
        <v>124</v>
      </c>
    </row>
    <row r="79" spans="2:11">
      <c r="B79" s="37">
        <f t="shared" si="0"/>
        <v>66</v>
      </c>
      <c r="C79" s="38" t="s">
        <v>288</v>
      </c>
      <c r="D79" s="38" t="s">
        <v>289</v>
      </c>
      <c r="E79" s="38" t="s">
        <v>183</v>
      </c>
      <c r="F79" s="38"/>
      <c r="G79" s="39" t="s">
        <v>180</v>
      </c>
      <c r="H79" s="40" t="s">
        <v>210</v>
      </c>
      <c r="K79" s="41" t="s">
        <v>124</v>
      </c>
    </row>
    <row r="80" spans="2:11">
      <c r="B80" s="37">
        <f t="shared" si="0"/>
        <v>67</v>
      </c>
      <c r="C80" s="38" t="s">
        <v>290</v>
      </c>
      <c r="D80" s="38" t="s">
        <v>291</v>
      </c>
      <c r="E80" s="38" t="s">
        <v>183</v>
      </c>
      <c r="F80" s="38"/>
      <c r="G80" s="39" t="s">
        <v>180</v>
      </c>
      <c r="H80" s="40" t="s">
        <v>210</v>
      </c>
      <c r="K80" s="41" t="s">
        <v>124</v>
      </c>
    </row>
    <row r="81" spans="2:11">
      <c r="B81" s="67">
        <f t="shared" si="0"/>
        <v>68</v>
      </c>
      <c r="C81" s="68" t="s">
        <v>421</v>
      </c>
      <c r="D81" s="70" t="s">
        <v>422</v>
      </c>
      <c r="E81" s="70" t="s">
        <v>416</v>
      </c>
      <c r="F81" s="38"/>
      <c r="G81" s="39" t="s">
        <v>180</v>
      </c>
      <c r="H81" s="40" t="s">
        <v>210</v>
      </c>
      <c r="K81" s="41" t="s">
        <v>204</v>
      </c>
    </row>
    <row r="82" spans="2:11">
      <c r="B82" s="26">
        <f t="shared" si="0"/>
        <v>69</v>
      </c>
      <c r="C82" s="28" t="s">
        <v>103</v>
      </c>
      <c r="D82" s="28" t="s">
        <v>108</v>
      </c>
      <c r="E82" s="28" t="s">
        <v>183</v>
      </c>
      <c r="F82" s="28"/>
      <c r="G82" s="29" t="s">
        <v>204</v>
      </c>
      <c r="H82" s="30"/>
      <c r="K82" s="31" t="s">
        <v>108</v>
      </c>
    </row>
    <row r="83" spans="2:11">
      <c r="B83" s="26">
        <f t="shared" si="0"/>
        <v>70</v>
      </c>
      <c r="C83" s="28" t="s">
        <v>109</v>
      </c>
      <c r="D83" s="28" t="s">
        <v>110</v>
      </c>
      <c r="E83" s="28" t="s">
        <v>294</v>
      </c>
      <c r="F83" s="28"/>
      <c r="G83" s="29"/>
      <c r="H83" s="30"/>
      <c r="K83" s="31" t="s">
        <v>110</v>
      </c>
    </row>
    <row r="84" spans="2:11">
      <c r="B84" s="26">
        <f t="shared" si="0"/>
        <v>71</v>
      </c>
      <c r="C84" s="28" t="s">
        <v>111</v>
      </c>
      <c r="D84" s="28" t="s">
        <v>118</v>
      </c>
      <c r="E84" s="28" t="s">
        <v>192</v>
      </c>
      <c r="F84" s="28"/>
      <c r="G84" s="29"/>
      <c r="H84" s="30"/>
      <c r="K84" s="31" t="s">
        <v>118</v>
      </c>
    </row>
    <row r="85" spans="2:11" ht="24.75" customHeight="1">
      <c r="B85" s="26">
        <f t="shared" si="0"/>
        <v>72</v>
      </c>
      <c r="C85" s="28" t="s">
        <v>104</v>
      </c>
      <c r="D85" s="28" t="s">
        <v>119</v>
      </c>
      <c r="E85" s="28" t="s">
        <v>192</v>
      </c>
      <c r="F85" s="28" t="s">
        <v>179</v>
      </c>
      <c r="G85" s="29" t="s">
        <v>123</v>
      </c>
      <c r="H85" s="35" t="s">
        <v>298</v>
      </c>
      <c r="K85" s="31" t="s">
        <v>123</v>
      </c>
    </row>
    <row r="86" spans="2:11" ht="24.75" customHeight="1">
      <c r="B86" s="26">
        <f t="shared" si="0"/>
        <v>73</v>
      </c>
      <c r="C86" s="28" t="s">
        <v>125</v>
      </c>
      <c r="D86" s="28" t="s">
        <v>126</v>
      </c>
      <c r="E86" s="28" t="s">
        <v>192</v>
      </c>
      <c r="F86" s="28" t="s">
        <v>179</v>
      </c>
      <c r="G86" s="29" t="s">
        <v>123</v>
      </c>
      <c r="H86" s="35" t="s">
        <v>298</v>
      </c>
      <c r="K86" s="31" t="s">
        <v>123</v>
      </c>
    </row>
    <row r="87" spans="2:11">
      <c r="B87" s="26">
        <f t="shared" si="0"/>
        <v>74</v>
      </c>
      <c r="C87" s="28" t="s">
        <v>112</v>
      </c>
      <c r="D87" s="28" t="s">
        <v>70</v>
      </c>
      <c r="E87" s="28" t="s">
        <v>192</v>
      </c>
      <c r="F87" s="28" t="s">
        <v>179</v>
      </c>
      <c r="G87" s="29" t="s">
        <v>300</v>
      </c>
      <c r="H87" s="30" t="s">
        <v>180</v>
      </c>
      <c r="K87" s="31" t="s">
        <v>70</v>
      </c>
    </row>
    <row r="88" spans="2:11">
      <c r="B88" s="26">
        <f t="shared" si="0"/>
        <v>75</v>
      </c>
      <c r="C88" s="28" t="s">
        <v>71</v>
      </c>
      <c r="D88" s="28" t="s">
        <v>120</v>
      </c>
      <c r="E88" s="28" t="s">
        <v>192</v>
      </c>
      <c r="F88" s="28" t="s">
        <v>179</v>
      </c>
      <c r="G88" s="29" t="s">
        <v>204</v>
      </c>
      <c r="H88" s="30" t="s">
        <v>180</v>
      </c>
      <c r="K88" s="31" t="s">
        <v>120</v>
      </c>
    </row>
    <row r="89" spans="2:11">
      <c r="B89" s="26">
        <f t="shared" si="0"/>
        <v>76</v>
      </c>
      <c r="C89" s="28" t="s">
        <v>73</v>
      </c>
      <c r="D89" s="28" t="s">
        <v>113</v>
      </c>
      <c r="E89" s="28" t="s">
        <v>294</v>
      </c>
      <c r="F89" s="28" t="s">
        <v>179</v>
      </c>
      <c r="G89" s="29"/>
      <c r="H89" s="30"/>
      <c r="K89" s="31" t="s">
        <v>113</v>
      </c>
    </row>
    <row r="90" spans="2:11">
      <c r="B90" s="26">
        <f t="shared" si="0"/>
        <v>77</v>
      </c>
      <c r="C90" s="28" t="s">
        <v>75</v>
      </c>
      <c r="D90" s="28" t="s">
        <v>121</v>
      </c>
      <c r="E90" s="28" t="s">
        <v>192</v>
      </c>
      <c r="F90" s="28" t="s">
        <v>179</v>
      </c>
      <c r="G90" s="29"/>
      <c r="H90" s="30"/>
      <c r="K90" s="31" t="s">
        <v>121</v>
      </c>
    </row>
    <row r="91" spans="2:11">
      <c r="B91" s="26">
        <f t="shared" si="0"/>
        <v>78</v>
      </c>
      <c r="C91" s="28" t="s">
        <v>77</v>
      </c>
      <c r="D91" s="28" t="s">
        <v>114</v>
      </c>
      <c r="E91" s="28" t="s">
        <v>294</v>
      </c>
      <c r="F91" s="28" t="s">
        <v>179</v>
      </c>
      <c r="G91" s="29" t="s">
        <v>180</v>
      </c>
      <c r="H91" s="30" t="s">
        <v>180</v>
      </c>
      <c r="K91" s="31" t="s">
        <v>114</v>
      </c>
    </row>
    <row r="92" spans="2:11">
      <c r="B92" s="26">
        <f t="shared" si="0"/>
        <v>79</v>
      </c>
      <c r="C92" s="28" t="s">
        <v>79</v>
      </c>
      <c r="D92" s="28" t="s">
        <v>115</v>
      </c>
      <c r="E92" s="28" t="s">
        <v>192</v>
      </c>
      <c r="F92" s="28" t="s">
        <v>179</v>
      </c>
      <c r="G92" s="29"/>
      <c r="H92" s="30"/>
      <c r="K92" s="31" t="s">
        <v>115</v>
      </c>
    </row>
    <row r="93" spans="2:11">
      <c r="B93" s="26">
        <f t="shared" si="0"/>
        <v>80</v>
      </c>
      <c r="C93" s="28" t="s">
        <v>81</v>
      </c>
      <c r="D93" s="28" t="s">
        <v>82</v>
      </c>
      <c r="E93" s="28" t="s">
        <v>194</v>
      </c>
      <c r="F93" s="28"/>
      <c r="G93" s="29" t="s">
        <v>180</v>
      </c>
      <c r="H93" s="30" t="s">
        <v>180</v>
      </c>
      <c r="K93" s="31" t="s">
        <v>82</v>
      </c>
    </row>
    <row r="94" spans="2:11">
      <c r="B94" s="26">
        <f t="shared" si="0"/>
        <v>81</v>
      </c>
      <c r="C94" s="28" t="s">
        <v>83</v>
      </c>
      <c r="D94" s="28" t="s">
        <v>84</v>
      </c>
      <c r="E94" s="28" t="s">
        <v>194</v>
      </c>
      <c r="F94" s="28"/>
      <c r="G94" s="29" t="s">
        <v>180</v>
      </c>
      <c r="H94" s="30" t="s">
        <v>180</v>
      </c>
      <c r="K94" s="31" t="s">
        <v>84</v>
      </c>
    </row>
    <row r="95" spans="2:11">
      <c r="B95" s="26">
        <f t="shared" si="0"/>
        <v>82</v>
      </c>
      <c r="C95" s="28" t="s">
        <v>85</v>
      </c>
      <c r="D95" s="28" t="s">
        <v>86</v>
      </c>
      <c r="E95" s="28" t="s">
        <v>194</v>
      </c>
      <c r="F95" s="28"/>
      <c r="G95" s="29" t="s">
        <v>180</v>
      </c>
      <c r="H95" s="30" t="s">
        <v>180</v>
      </c>
      <c r="K95" s="31" t="s">
        <v>86</v>
      </c>
    </row>
    <row r="96" spans="2:11">
      <c r="B96" s="26">
        <f t="shared" si="0"/>
        <v>83</v>
      </c>
      <c r="C96" s="28" t="s">
        <v>87</v>
      </c>
      <c r="D96" s="28" t="s">
        <v>88</v>
      </c>
      <c r="E96" s="28" t="s">
        <v>194</v>
      </c>
      <c r="F96" s="28"/>
      <c r="G96" s="29" t="s">
        <v>180</v>
      </c>
      <c r="H96" s="30" t="s">
        <v>180</v>
      </c>
      <c r="K96" s="31" t="s">
        <v>88</v>
      </c>
    </row>
    <row r="97" spans="2:11">
      <c r="B97" s="42">
        <f>ROW()-13</f>
        <v>84</v>
      </c>
      <c r="C97" s="43" t="s">
        <v>89</v>
      </c>
      <c r="D97" s="43" t="s">
        <v>90</v>
      </c>
      <c r="E97" s="43" t="s">
        <v>194</v>
      </c>
      <c r="F97" s="43"/>
      <c r="G97" s="44"/>
      <c r="H97" s="45"/>
      <c r="K97" s="31" t="s">
        <v>90</v>
      </c>
    </row>
    <row r="98" spans="2:11" ht="16.5" thickBot="1">
      <c r="B98" s="46">
        <f>ROW()-13</f>
        <v>85</v>
      </c>
      <c r="C98" s="47" t="s">
        <v>91</v>
      </c>
      <c r="D98" s="47" t="s">
        <v>116</v>
      </c>
      <c r="E98" s="47" t="s">
        <v>206</v>
      </c>
      <c r="F98" s="47"/>
      <c r="G98" s="48" t="s">
        <v>180</v>
      </c>
      <c r="H98" s="49" t="s">
        <v>180</v>
      </c>
      <c r="K98" s="31" t="s">
        <v>116</v>
      </c>
    </row>
  </sheetData>
  <phoneticPr fontId="9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uildSQL">
          <controlPr defaultSize="0" autoLine="0" r:id="rId5">
            <anchor moveWithCells="1">
              <from>
                <xdr:col>10</xdr:col>
                <xdr:colOff>0</xdr:colOff>
                <xdr:row>5</xdr:row>
                <xdr:rowOff>76200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BuildSQ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41"/>
  <sheetViews>
    <sheetView zoomScaleNormal="100" workbookViewId="0">
      <selection activeCell="M12" sqref="M12"/>
    </sheetView>
  </sheetViews>
  <sheetFormatPr defaultRowHeight="15.75"/>
  <cols>
    <col min="1" max="1" width="2" style="16" customWidth="1"/>
    <col min="2" max="2" width="4" style="16" customWidth="1"/>
    <col min="3" max="3" width="18.21875" style="16" customWidth="1"/>
    <col min="4" max="4" width="18.109375" style="16" customWidth="1"/>
    <col min="5" max="5" width="13" style="16" customWidth="1"/>
    <col min="6" max="7" width="5.6640625" style="16" customWidth="1"/>
    <col min="8" max="8" width="2.77734375" style="16" customWidth="1"/>
    <col min="9" max="10" width="3.33203125" style="16" customWidth="1"/>
    <col min="11" max="11" width="20" style="16" customWidth="1"/>
    <col min="12" max="16384" width="8.88671875" style="16"/>
  </cols>
  <sheetData>
    <row r="1" spans="2:11" ht="0.75" customHeight="1"/>
    <row r="2" spans="2:11" ht="0.75" customHeight="1"/>
    <row r="3" spans="2:11" ht="0.75" customHeight="1"/>
    <row r="4" spans="2:11" ht="0.75" customHeight="1"/>
    <row r="5" spans="2:11" ht="0.75" customHeight="1"/>
    <row r="7" spans="2:11">
      <c r="B7" s="15" t="s">
        <v>307</v>
      </c>
      <c r="K7" s="15"/>
    </row>
    <row r="8" spans="2:11">
      <c r="B8" s="15"/>
    </row>
    <row r="9" spans="2:11">
      <c r="B9" s="15"/>
      <c r="C9" s="17" t="s">
        <v>308</v>
      </c>
      <c r="D9" s="18" t="s">
        <v>525</v>
      </c>
      <c r="K9" s="19" t="s">
        <v>314</v>
      </c>
    </row>
    <row r="10" spans="2:11">
      <c r="B10" s="15"/>
      <c r="C10" s="17" t="s">
        <v>310</v>
      </c>
      <c r="D10" s="20" t="s">
        <v>526</v>
      </c>
      <c r="E10" s="16" t="s">
        <v>315</v>
      </c>
      <c r="K10" s="50" t="s">
        <v>553</v>
      </c>
    </row>
    <row r="11" spans="2:11">
      <c r="B11" s="15"/>
      <c r="C11" s="17" t="s">
        <v>312</v>
      </c>
      <c r="D11" s="53" t="str">
        <f>D10&amp;"_bk"</f>
        <v>t_information_bk</v>
      </c>
      <c r="K11" s="15"/>
    </row>
    <row r="12" spans="2:11" ht="16.5" thickBot="1"/>
    <row r="13" spans="2:11">
      <c r="B13" s="22" t="s">
        <v>172</v>
      </c>
      <c r="C13" s="23" t="s">
        <v>173</v>
      </c>
      <c r="D13" s="23" t="s">
        <v>174</v>
      </c>
      <c r="E13" s="23" t="s">
        <v>175</v>
      </c>
      <c r="F13" s="23" t="s">
        <v>176</v>
      </c>
      <c r="G13" s="23" t="s">
        <v>177</v>
      </c>
      <c r="H13" s="24" t="s">
        <v>66</v>
      </c>
      <c r="K13" s="25" t="s">
        <v>122</v>
      </c>
    </row>
    <row r="14" spans="2:11">
      <c r="B14" s="26">
        <f t="shared" ref="B14:B41" si="0">ROW()-13</f>
        <v>1</v>
      </c>
      <c r="C14" s="72" t="s">
        <v>508</v>
      </c>
      <c r="D14" s="4" t="s">
        <v>527</v>
      </c>
      <c r="E14" s="4" t="s">
        <v>528</v>
      </c>
      <c r="F14" s="4" t="s">
        <v>179</v>
      </c>
      <c r="G14" s="10" t="s">
        <v>180</v>
      </c>
      <c r="H14" s="73" t="s">
        <v>180</v>
      </c>
      <c r="K14" s="4" t="s">
        <v>527</v>
      </c>
    </row>
    <row r="15" spans="2:11">
      <c r="B15" s="26">
        <f t="shared" si="0"/>
        <v>2</v>
      </c>
      <c r="C15" s="74" t="s">
        <v>509</v>
      </c>
      <c r="D15" s="4" t="s">
        <v>529</v>
      </c>
      <c r="E15" s="4" t="s">
        <v>530</v>
      </c>
      <c r="F15" s="4" t="s">
        <v>179</v>
      </c>
      <c r="G15" s="10"/>
      <c r="H15" s="73" t="s">
        <v>510</v>
      </c>
      <c r="K15" s="4" t="s">
        <v>529</v>
      </c>
    </row>
    <row r="16" spans="2:11">
      <c r="B16" s="26">
        <f t="shared" si="0"/>
        <v>3</v>
      </c>
      <c r="C16" s="74" t="s">
        <v>531</v>
      </c>
      <c r="D16" s="4" t="s">
        <v>532</v>
      </c>
      <c r="E16" s="4" t="s">
        <v>533</v>
      </c>
      <c r="F16" s="4" t="s">
        <v>179</v>
      </c>
      <c r="G16" s="10"/>
      <c r="H16" s="73"/>
      <c r="K16" s="4" t="s">
        <v>532</v>
      </c>
    </row>
    <row r="17" spans="2:11">
      <c r="B17" s="26">
        <f t="shared" si="0"/>
        <v>4</v>
      </c>
      <c r="C17" s="74" t="s">
        <v>511</v>
      </c>
      <c r="D17" s="4" t="s">
        <v>534</v>
      </c>
      <c r="E17" s="4" t="s">
        <v>535</v>
      </c>
      <c r="F17" s="4"/>
      <c r="G17" s="10"/>
      <c r="H17" s="73"/>
      <c r="K17" s="4" t="s">
        <v>534</v>
      </c>
    </row>
    <row r="18" spans="2:11">
      <c r="B18" s="26">
        <f t="shared" si="0"/>
        <v>5</v>
      </c>
      <c r="C18" s="75" t="s">
        <v>512</v>
      </c>
      <c r="D18" s="76" t="s">
        <v>536</v>
      </c>
      <c r="E18" s="76" t="s">
        <v>537</v>
      </c>
      <c r="F18" s="76"/>
      <c r="G18" s="77"/>
      <c r="H18" s="78" t="s">
        <v>513</v>
      </c>
      <c r="K18" s="76" t="s">
        <v>536</v>
      </c>
    </row>
    <row r="19" spans="2:11">
      <c r="B19" s="26">
        <f t="shared" si="0"/>
        <v>6</v>
      </c>
      <c r="C19" s="75" t="s">
        <v>514</v>
      </c>
      <c r="D19" s="76" t="s">
        <v>538</v>
      </c>
      <c r="E19" s="76" t="s">
        <v>507</v>
      </c>
      <c r="F19" s="76"/>
      <c r="G19" s="77"/>
      <c r="H19" s="78" t="s">
        <v>513</v>
      </c>
      <c r="K19" s="76" t="s">
        <v>538</v>
      </c>
    </row>
    <row r="20" spans="2:11">
      <c r="B20" s="26">
        <f t="shared" si="0"/>
        <v>7</v>
      </c>
      <c r="C20" s="75" t="s">
        <v>515</v>
      </c>
      <c r="D20" s="76" t="s">
        <v>539</v>
      </c>
      <c r="E20" s="76" t="s">
        <v>507</v>
      </c>
      <c r="F20" s="76"/>
      <c r="G20" s="77"/>
      <c r="H20" s="78" t="s">
        <v>513</v>
      </c>
      <c r="K20" s="76" t="s">
        <v>539</v>
      </c>
    </row>
    <row r="21" spans="2:11">
      <c r="B21" s="26">
        <f t="shared" si="0"/>
        <v>8</v>
      </c>
      <c r="C21" s="75" t="s">
        <v>516</v>
      </c>
      <c r="D21" s="76" t="s">
        <v>540</v>
      </c>
      <c r="E21" s="76" t="s">
        <v>533</v>
      </c>
      <c r="F21" s="76"/>
      <c r="G21" s="77"/>
      <c r="H21" s="78" t="s">
        <v>513</v>
      </c>
      <c r="K21" s="76" t="s">
        <v>540</v>
      </c>
    </row>
    <row r="22" spans="2:11">
      <c r="B22" s="26">
        <f t="shared" si="0"/>
        <v>9</v>
      </c>
      <c r="C22" s="74" t="s">
        <v>517</v>
      </c>
      <c r="D22" s="4" t="s">
        <v>541</v>
      </c>
      <c r="E22" s="4" t="s">
        <v>537</v>
      </c>
      <c r="F22" s="4"/>
      <c r="G22" s="10"/>
      <c r="H22" s="73"/>
      <c r="K22" s="4" t="s">
        <v>541</v>
      </c>
    </row>
    <row r="23" spans="2:11">
      <c r="B23" s="26">
        <f t="shared" si="0"/>
        <v>10</v>
      </c>
      <c r="C23" s="74" t="s">
        <v>518</v>
      </c>
      <c r="D23" s="4" t="s">
        <v>542</v>
      </c>
      <c r="E23" s="4" t="s">
        <v>537</v>
      </c>
      <c r="F23" s="4"/>
      <c r="G23" s="10"/>
      <c r="H23" s="73"/>
      <c r="K23" s="4" t="s">
        <v>542</v>
      </c>
    </row>
    <row r="24" spans="2:11">
      <c r="B24" s="26">
        <f t="shared" si="0"/>
        <v>11</v>
      </c>
      <c r="C24" s="74" t="s">
        <v>543</v>
      </c>
      <c r="D24" s="4" t="s">
        <v>544</v>
      </c>
      <c r="E24" s="4" t="s">
        <v>530</v>
      </c>
      <c r="F24" s="4"/>
      <c r="G24" s="10"/>
      <c r="H24" s="73" t="s">
        <v>545</v>
      </c>
      <c r="K24" s="4" t="s">
        <v>544</v>
      </c>
    </row>
    <row r="25" spans="2:11">
      <c r="B25" s="26">
        <f t="shared" si="0"/>
        <v>12</v>
      </c>
      <c r="C25" s="74" t="s">
        <v>519</v>
      </c>
      <c r="D25" s="4" t="s">
        <v>546</v>
      </c>
      <c r="E25" s="4" t="s">
        <v>533</v>
      </c>
      <c r="F25" s="4"/>
      <c r="G25" s="10"/>
      <c r="H25" s="73"/>
      <c r="K25" s="4" t="s">
        <v>546</v>
      </c>
    </row>
    <row r="26" spans="2:11">
      <c r="B26" s="26">
        <f t="shared" si="0"/>
        <v>13</v>
      </c>
      <c r="C26" s="74" t="s">
        <v>547</v>
      </c>
      <c r="D26" s="4" t="s">
        <v>548</v>
      </c>
      <c r="E26" s="4" t="s">
        <v>533</v>
      </c>
      <c r="F26" s="4"/>
      <c r="G26" s="10"/>
      <c r="H26" s="73"/>
      <c r="K26" s="4" t="s">
        <v>552</v>
      </c>
    </row>
    <row r="27" spans="2:11">
      <c r="B27" s="26">
        <f t="shared" si="0"/>
        <v>14</v>
      </c>
      <c r="C27" s="74" t="s">
        <v>520</v>
      </c>
      <c r="D27" s="4" t="s">
        <v>549</v>
      </c>
      <c r="E27" s="4" t="s">
        <v>530</v>
      </c>
      <c r="F27" s="4"/>
      <c r="G27" s="10"/>
      <c r="H27" s="73" t="s">
        <v>521</v>
      </c>
      <c r="K27" s="4" t="s">
        <v>549</v>
      </c>
    </row>
    <row r="28" spans="2:11">
      <c r="B28" s="26">
        <f t="shared" si="0"/>
        <v>15</v>
      </c>
      <c r="C28" s="74" t="s">
        <v>550</v>
      </c>
      <c r="D28" s="4" t="s">
        <v>551</v>
      </c>
      <c r="E28" s="4" t="s">
        <v>533</v>
      </c>
      <c r="F28" s="4"/>
      <c r="G28" s="10"/>
      <c r="H28" s="73"/>
      <c r="K28" s="4" t="s">
        <v>551</v>
      </c>
    </row>
    <row r="29" spans="2:11">
      <c r="B29" s="26">
        <f t="shared" si="0"/>
        <v>16</v>
      </c>
      <c r="C29" s="74" t="s">
        <v>522</v>
      </c>
      <c r="D29" s="79" t="s">
        <v>523</v>
      </c>
      <c r="E29" s="4" t="s">
        <v>337</v>
      </c>
      <c r="F29" s="4"/>
      <c r="G29" s="10"/>
      <c r="H29" s="73" t="s">
        <v>524</v>
      </c>
      <c r="K29" s="79" t="s">
        <v>523</v>
      </c>
    </row>
    <row r="30" spans="2:11">
      <c r="B30" s="67">
        <f t="shared" si="0"/>
        <v>17</v>
      </c>
      <c r="C30" s="4" t="s">
        <v>112</v>
      </c>
      <c r="D30" s="4" t="s">
        <v>70</v>
      </c>
      <c r="E30" s="4" t="s">
        <v>192</v>
      </c>
      <c r="F30" s="4" t="s">
        <v>179</v>
      </c>
      <c r="G30" s="10" t="s">
        <v>300</v>
      </c>
      <c r="H30" s="73" t="s">
        <v>180</v>
      </c>
      <c r="K30" s="4" t="s">
        <v>70</v>
      </c>
    </row>
    <row r="31" spans="2:11">
      <c r="B31" s="67">
        <f t="shared" si="0"/>
        <v>18</v>
      </c>
      <c r="C31" s="4" t="s">
        <v>71</v>
      </c>
      <c r="D31" s="4" t="s">
        <v>120</v>
      </c>
      <c r="E31" s="4" t="s">
        <v>192</v>
      </c>
      <c r="F31" s="4" t="s">
        <v>179</v>
      </c>
      <c r="G31" s="10" t="s">
        <v>202</v>
      </c>
      <c r="H31" s="73" t="s">
        <v>180</v>
      </c>
      <c r="K31" s="4" t="s">
        <v>120</v>
      </c>
    </row>
    <row r="32" spans="2:11">
      <c r="B32" s="69">
        <f t="shared" si="0"/>
        <v>19</v>
      </c>
      <c r="C32" s="4" t="s">
        <v>73</v>
      </c>
      <c r="D32" s="4" t="s">
        <v>498</v>
      </c>
      <c r="E32" s="4" t="s">
        <v>294</v>
      </c>
      <c r="F32" s="4" t="s">
        <v>179</v>
      </c>
      <c r="G32" s="10"/>
      <c r="H32" s="73"/>
      <c r="K32" s="4" t="s">
        <v>498</v>
      </c>
    </row>
    <row r="33" spans="2:11">
      <c r="B33" s="26">
        <f t="shared" si="0"/>
        <v>20</v>
      </c>
      <c r="C33" s="4" t="s">
        <v>75</v>
      </c>
      <c r="D33" s="4" t="s">
        <v>121</v>
      </c>
      <c r="E33" s="4" t="s">
        <v>337</v>
      </c>
      <c r="F33" s="4" t="s">
        <v>179</v>
      </c>
      <c r="G33" s="10"/>
      <c r="H33" s="73"/>
      <c r="K33" s="4" t="s">
        <v>121</v>
      </c>
    </row>
    <row r="34" spans="2:11">
      <c r="B34" s="26">
        <f t="shared" si="0"/>
        <v>21</v>
      </c>
      <c r="C34" s="4" t="s">
        <v>77</v>
      </c>
      <c r="D34" s="4" t="s">
        <v>114</v>
      </c>
      <c r="E34" s="4" t="s">
        <v>294</v>
      </c>
      <c r="F34" s="4" t="s">
        <v>179</v>
      </c>
      <c r="G34" s="10" t="s">
        <v>180</v>
      </c>
      <c r="H34" s="73" t="s">
        <v>180</v>
      </c>
      <c r="K34" s="4" t="s">
        <v>114</v>
      </c>
    </row>
    <row r="35" spans="2:11">
      <c r="B35" s="26">
        <f t="shared" si="0"/>
        <v>22</v>
      </c>
      <c r="C35" s="4" t="s">
        <v>79</v>
      </c>
      <c r="D35" s="4" t="s">
        <v>115</v>
      </c>
      <c r="E35" s="4" t="s">
        <v>337</v>
      </c>
      <c r="F35" s="4" t="s">
        <v>179</v>
      </c>
      <c r="G35" s="10"/>
      <c r="H35" s="73"/>
      <c r="K35" s="4" t="s">
        <v>115</v>
      </c>
    </row>
    <row r="36" spans="2:11">
      <c r="B36" s="26">
        <f t="shared" si="0"/>
        <v>23</v>
      </c>
      <c r="C36" s="4" t="s">
        <v>81</v>
      </c>
      <c r="D36" s="4" t="s">
        <v>82</v>
      </c>
      <c r="E36" s="4" t="s">
        <v>194</v>
      </c>
      <c r="F36" s="4"/>
      <c r="G36" s="10" t="s">
        <v>180</v>
      </c>
      <c r="H36" s="73" t="s">
        <v>180</v>
      </c>
      <c r="K36" s="4" t="s">
        <v>82</v>
      </c>
    </row>
    <row r="37" spans="2:11" ht="34.5" customHeight="1">
      <c r="B37" s="26">
        <f t="shared" si="0"/>
        <v>24</v>
      </c>
      <c r="C37" s="4" t="s">
        <v>83</v>
      </c>
      <c r="D37" s="4" t="s">
        <v>84</v>
      </c>
      <c r="E37" s="4" t="s">
        <v>194</v>
      </c>
      <c r="F37" s="4"/>
      <c r="G37" s="10" t="s">
        <v>180</v>
      </c>
      <c r="H37" s="73" t="s">
        <v>180</v>
      </c>
      <c r="K37" s="4" t="s">
        <v>84</v>
      </c>
    </row>
    <row r="38" spans="2:11">
      <c r="B38" s="26">
        <f t="shared" si="0"/>
        <v>25</v>
      </c>
      <c r="C38" s="4" t="s">
        <v>85</v>
      </c>
      <c r="D38" s="4" t="s">
        <v>86</v>
      </c>
      <c r="E38" s="4" t="s">
        <v>194</v>
      </c>
      <c r="F38" s="4"/>
      <c r="G38" s="10" t="s">
        <v>180</v>
      </c>
      <c r="H38" s="73" t="s">
        <v>180</v>
      </c>
      <c r="K38" s="4" t="s">
        <v>86</v>
      </c>
    </row>
    <row r="39" spans="2:11">
      <c r="B39" s="37">
        <f t="shared" si="0"/>
        <v>26</v>
      </c>
      <c r="C39" s="4" t="s">
        <v>87</v>
      </c>
      <c r="D39" s="4" t="s">
        <v>88</v>
      </c>
      <c r="E39" s="4" t="s">
        <v>194</v>
      </c>
      <c r="F39" s="4"/>
      <c r="G39" s="10" t="s">
        <v>180</v>
      </c>
      <c r="H39" s="73" t="s">
        <v>180</v>
      </c>
      <c r="K39" s="4" t="s">
        <v>88</v>
      </c>
    </row>
    <row r="40" spans="2:11">
      <c r="B40" s="37">
        <f t="shared" si="0"/>
        <v>27</v>
      </c>
      <c r="C40" s="5" t="s">
        <v>89</v>
      </c>
      <c r="D40" s="5" t="s">
        <v>90</v>
      </c>
      <c r="E40" s="5" t="s">
        <v>194</v>
      </c>
      <c r="F40" s="5"/>
      <c r="G40" s="12"/>
      <c r="H40" s="80"/>
      <c r="K40" s="5" t="s">
        <v>90</v>
      </c>
    </row>
    <row r="41" spans="2:11" ht="16.5" thickBot="1">
      <c r="B41" s="37">
        <f t="shared" si="0"/>
        <v>28</v>
      </c>
      <c r="C41" s="6" t="s">
        <v>91</v>
      </c>
      <c r="D41" s="6" t="s">
        <v>476</v>
      </c>
      <c r="E41" s="6" t="s">
        <v>194</v>
      </c>
      <c r="F41" s="6"/>
      <c r="G41" s="14" t="s">
        <v>180</v>
      </c>
      <c r="H41" s="81" t="s">
        <v>180</v>
      </c>
      <c r="K41" s="6" t="s">
        <v>476</v>
      </c>
    </row>
  </sheetData>
  <phoneticPr fontId="9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BuildSQL">
          <controlPr defaultSize="0" autoLine="0" r:id="rId5">
            <anchor moveWithCells="1">
              <from>
                <xdr:col>10</xdr:col>
                <xdr:colOff>0</xdr:colOff>
                <xdr:row>5</xdr:row>
                <xdr:rowOff>76200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6385" r:id="rId4" name="BuildSQ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K48"/>
  <sheetViews>
    <sheetView zoomScaleNormal="100" workbookViewId="0">
      <selection activeCell="K10" sqref="K10"/>
    </sheetView>
  </sheetViews>
  <sheetFormatPr defaultRowHeight="15.75"/>
  <cols>
    <col min="1" max="1" width="2" style="16" customWidth="1"/>
    <col min="2" max="2" width="4" style="16" customWidth="1"/>
    <col min="3" max="3" width="18.21875" style="16" customWidth="1"/>
    <col min="4" max="4" width="19.88671875" style="16" customWidth="1"/>
    <col min="5" max="5" width="13" style="16" customWidth="1"/>
    <col min="6" max="7" width="5.6640625" style="16" customWidth="1"/>
    <col min="8" max="8" width="2.77734375" style="16" customWidth="1"/>
    <col min="9" max="10" width="3.33203125" style="16" customWidth="1"/>
    <col min="11" max="11" width="20" style="16" customWidth="1"/>
    <col min="12" max="16384" width="8.88671875" style="16"/>
  </cols>
  <sheetData>
    <row r="1" spans="2:11" ht="0.75" customHeight="1">
      <c r="H1" s="54"/>
    </row>
    <row r="2" spans="2:11" ht="0.75" customHeight="1">
      <c r="H2" s="54"/>
    </row>
    <row r="3" spans="2:11" ht="0.75" customHeight="1">
      <c r="H3" s="54"/>
    </row>
    <row r="4" spans="2:11" ht="0.75" customHeight="1">
      <c r="H4" s="54"/>
    </row>
    <row r="5" spans="2:11" ht="0.75" customHeight="1">
      <c r="H5" s="54"/>
    </row>
    <row r="6" spans="2:11">
      <c r="H6" s="54"/>
    </row>
    <row r="7" spans="2:11">
      <c r="B7" s="15" t="s">
        <v>307</v>
      </c>
      <c r="H7" s="54"/>
      <c r="K7" s="15"/>
    </row>
    <row r="8" spans="2:11">
      <c r="B8" s="15"/>
      <c r="H8" s="54"/>
    </row>
    <row r="9" spans="2:11">
      <c r="B9" s="15"/>
      <c r="C9" s="17" t="s">
        <v>308</v>
      </c>
      <c r="D9" s="18" t="s">
        <v>441</v>
      </c>
      <c r="H9" s="54"/>
      <c r="K9" s="19" t="s">
        <v>314</v>
      </c>
    </row>
    <row r="10" spans="2:11">
      <c r="B10" s="15"/>
      <c r="C10" s="17" t="s">
        <v>310</v>
      </c>
      <c r="D10" s="20" t="s">
        <v>440</v>
      </c>
      <c r="E10" s="16" t="s">
        <v>315</v>
      </c>
      <c r="H10" s="54"/>
      <c r="K10" s="50" t="s">
        <v>500</v>
      </c>
    </row>
    <row r="11" spans="2:11">
      <c r="B11" s="15"/>
      <c r="C11" s="17" t="s">
        <v>312</v>
      </c>
      <c r="D11" s="53" t="str">
        <f>D10&amp;"_bk"</f>
        <v>t_account_request_bk</v>
      </c>
      <c r="H11" s="54"/>
      <c r="K11" s="15"/>
    </row>
    <row r="12" spans="2:11" ht="16.5" thickBot="1">
      <c r="H12" s="54"/>
    </row>
    <row r="13" spans="2:11" ht="22.5">
      <c r="B13" s="7" t="s">
        <v>316</v>
      </c>
      <c r="C13" s="8" t="s">
        <v>317</v>
      </c>
      <c r="D13" s="8" t="s">
        <v>174</v>
      </c>
      <c r="E13" s="8" t="s">
        <v>318</v>
      </c>
      <c r="F13" s="8" t="s">
        <v>176</v>
      </c>
      <c r="G13" s="8" t="s">
        <v>177</v>
      </c>
      <c r="H13" s="55" t="s">
        <v>66</v>
      </c>
      <c r="K13" s="25" t="s">
        <v>122</v>
      </c>
    </row>
    <row r="14" spans="2:11" ht="19.5" customHeight="1">
      <c r="B14" s="51">
        <f t="shared" ref="B14:B46" si="0">ROW()-13</f>
        <v>1</v>
      </c>
      <c r="C14" s="1" t="s">
        <v>442</v>
      </c>
      <c r="D14" s="2" t="s">
        <v>477</v>
      </c>
      <c r="E14" s="2" t="s">
        <v>443</v>
      </c>
      <c r="F14" s="2" t="s">
        <v>179</v>
      </c>
      <c r="G14" s="52"/>
      <c r="H14" s="56" t="s">
        <v>436</v>
      </c>
      <c r="K14" s="31" t="s">
        <v>424</v>
      </c>
    </row>
    <row r="15" spans="2:11" ht="19.5" customHeight="1">
      <c r="B15" s="9">
        <f t="shared" si="0"/>
        <v>2</v>
      </c>
      <c r="C15" s="4" t="s">
        <v>94</v>
      </c>
      <c r="D15" s="4" t="s">
        <v>444</v>
      </c>
      <c r="E15" s="4" t="s">
        <v>445</v>
      </c>
      <c r="F15" s="4"/>
      <c r="G15" s="10"/>
      <c r="H15" s="57"/>
      <c r="K15" s="31" t="s">
        <v>425</v>
      </c>
    </row>
    <row r="16" spans="2:11" ht="19.5" customHeight="1">
      <c r="B16" s="9">
        <f t="shared" si="0"/>
        <v>3</v>
      </c>
      <c r="C16" s="4" t="s">
        <v>446</v>
      </c>
      <c r="D16" s="4" t="s">
        <v>478</v>
      </c>
      <c r="E16" s="4" t="s">
        <v>448</v>
      </c>
      <c r="F16" s="4"/>
      <c r="G16" s="10"/>
      <c r="H16" s="57"/>
      <c r="K16" s="31" t="s">
        <v>426</v>
      </c>
    </row>
    <row r="17" spans="2:11" ht="19.5" customHeight="1">
      <c r="B17" s="9">
        <f t="shared" si="0"/>
        <v>4</v>
      </c>
      <c r="C17" s="4" t="s">
        <v>447</v>
      </c>
      <c r="D17" s="4" t="s">
        <v>479</v>
      </c>
      <c r="E17" s="4" t="s">
        <v>448</v>
      </c>
      <c r="F17" s="4"/>
      <c r="G17" s="10"/>
      <c r="H17" s="57"/>
      <c r="K17" s="31" t="s">
        <v>427</v>
      </c>
    </row>
    <row r="18" spans="2:11" ht="19.5" customHeight="1">
      <c r="B18" s="9">
        <f t="shared" si="0"/>
        <v>5</v>
      </c>
      <c r="C18" s="4" t="s">
        <v>449</v>
      </c>
      <c r="D18" s="4" t="s">
        <v>480</v>
      </c>
      <c r="E18" s="4" t="s">
        <v>450</v>
      </c>
      <c r="F18" s="4"/>
      <c r="G18" s="10"/>
      <c r="H18" s="57"/>
      <c r="K18" s="34" t="s">
        <v>428</v>
      </c>
    </row>
    <row r="19" spans="2:11" ht="19.5" customHeight="1">
      <c r="B19" s="9">
        <f t="shared" si="0"/>
        <v>6</v>
      </c>
      <c r="C19" s="4" t="s">
        <v>451</v>
      </c>
      <c r="D19" s="4" t="s">
        <v>452</v>
      </c>
      <c r="E19" s="4" t="s">
        <v>448</v>
      </c>
      <c r="F19" s="4"/>
      <c r="G19" s="10"/>
      <c r="H19" s="57"/>
      <c r="K19" s="31" t="s">
        <v>429</v>
      </c>
    </row>
    <row r="20" spans="2:11" ht="19.5" customHeight="1">
      <c r="B20" s="9">
        <f t="shared" si="0"/>
        <v>7</v>
      </c>
      <c r="C20" s="4" t="s">
        <v>453</v>
      </c>
      <c r="D20" s="4" t="s">
        <v>454</v>
      </c>
      <c r="E20" s="4" t="s">
        <v>450</v>
      </c>
      <c r="F20" s="4"/>
      <c r="G20" s="10"/>
      <c r="H20" s="57"/>
      <c r="K20" s="31" t="s">
        <v>430</v>
      </c>
    </row>
    <row r="21" spans="2:11" ht="19.5" customHeight="1">
      <c r="B21" s="9">
        <f t="shared" si="0"/>
        <v>8</v>
      </c>
      <c r="C21" s="4" t="s">
        <v>455</v>
      </c>
      <c r="D21" s="4" t="s">
        <v>481</v>
      </c>
      <c r="E21" s="4" t="s">
        <v>460</v>
      </c>
      <c r="F21" s="4"/>
      <c r="G21" s="10"/>
      <c r="H21" s="57"/>
      <c r="K21" s="31" t="s">
        <v>431</v>
      </c>
    </row>
    <row r="22" spans="2:11" ht="19.5" customHeight="1">
      <c r="B22" s="9">
        <f t="shared" si="0"/>
        <v>9</v>
      </c>
      <c r="C22" s="4" t="s">
        <v>456</v>
      </c>
      <c r="D22" s="4" t="s">
        <v>457</v>
      </c>
      <c r="E22" s="4" t="s">
        <v>482</v>
      </c>
      <c r="F22" s="4"/>
      <c r="G22" s="10"/>
      <c r="H22" s="57"/>
      <c r="K22" s="31" t="s">
        <v>432</v>
      </c>
    </row>
    <row r="23" spans="2:11" ht="19.5" customHeight="1">
      <c r="B23" s="9">
        <f t="shared" si="0"/>
        <v>10</v>
      </c>
      <c r="C23" s="4" t="s">
        <v>458</v>
      </c>
      <c r="D23" s="4" t="s">
        <v>459</v>
      </c>
      <c r="E23" s="4" t="s">
        <v>460</v>
      </c>
      <c r="F23" s="4"/>
      <c r="G23" s="10"/>
      <c r="H23" s="57"/>
      <c r="K23" s="31" t="s">
        <v>433</v>
      </c>
    </row>
    <row r="24" spans="2:11" ht="19.5" customHeight="1">
      <c r="B24" s="9">
        <f t="shared" si="0"/>
        <v>11</v>
      </c>
      <c r="C24" s="4" t="s">
        <v>461</v>
      </c>
      <c r="D24" s="4" t="s">
        <v>462</v>
      </c>
      <c r="E24" s="4" t="s">
        <v>448</v>
      </c>
      <c r="F24" s="4"/>
      <c r="G24" s="10"/>
      <c r="H24" s="57"/>
      <c r="K24" s="31" t="s">
        <v>434</v>
      </c>
    </row>
    <row r="25" spans="2:11" ht="19.5" customHeight="1">
      <c r="B25" s="9">
        <f t="shared" si="0"/>
        <v>12</v>
      </c>
      <c r="C25" s="3" t="s">
        <v>2</v>
      </c>
      <c r="D25" s="4" t="s">
        <v>463</v>
      </c>
      <c r="E25" s="4" t="s">
        <v>450</v>
      </c>
      <c r="F25" s="4"/>
      <c r="G25" s="10"/>
      <c r="H25" s="57"/>
      <c r="K25" s="31" t="s">
        <v>3</v>
      </c>
    </row>
    <row r="26" spans="2:11" ht="19.5" customHeight="1">
      <c r="B26" s="9">
        <f t="shared" si="0"/>
        <v>13</v>
      </c>
      <c r="C26" s="4" t="s">
        <v>464</v>
      </c>
      <c r="D26" s="4" t="s">
        <v>483</v>
      </c>
      <c r="E26" s="4" t="s">
        <v>450</v>
      </c>
      <c r="F26" s="4"/>
      <c r="G26" s="10"/>
      <c r="H26" s="57"/>
      <c r="K26" s="31" t="s">
        <v>6</v>
      </c>
    </row>
    <row r="27" spans="2:11" ht="19.5" customHeight="1">
      <c r="B27" s="9">
        <f t="shared" si="0"/>
        <v>14</v>
      </c>
      <c r="C27" s="3" t="s">
        <v>484</v>
      </c>
      <c r="D27" s="4" t="s">
        <v>485</v>
      </c>
      <c r="E27" s="4" t="s">
        <v>486</v>
      </c>
      <c r="F27" s="4"/>
      <c r="G27" s="10"/>
      <c r="H27" s="57"/>
      <c r="K27" s="31" t="s">
        <v>439</v>
      </c>
    </row>
    <row r="28" spans="2:11" ht="19.5" customHeight="1">
      <c r="B28" s="9">
        <f t="shared" si="0"/>
        <v>15</v>
      </c>
      <c r="C28" s="4" t="s">
        <v>487</v>
      </c>
      <c r="D28" s="4" t="s">
        <v>488</v>
      </c>
      <c r="E28" s="4" t="s">
        <v>450</v>
      </c>
      <c r="F28" s="4"/>
      <c r="G28" s="10"/>
      <c r="H28" s="57"/>
      <c r="K28" s="31" t="s">
        <v>439</v>
      </c>
    </row>
    <row r="29" spans="2:11" ht="19.5" customHeight="1">
      <c r="B29" s="9">
        <f t="shared" si="0"/>
        <v>16</v>
      </c>
      <c r="C29" s="4" t="s">
        <v>435</v>
      </c>
      <c r="D29" s="4" t="s">
        <v>489</v>
      </c>
      <c r="E29" s="4" t="s">
        <v>450</v>
      </c>
      <c r="F29" s="4"/>
      <c r="G29" s="10"/>
      <c r="H29" s="57"/>
      <c r="K29" s="31" t="s">
        <v>438</v>
      </c>
    </row>
    <row r="30" spans="2:11" ht="19.5" customHeight="1">
      <c r="B30" s="9">
        <f t="shared" si="0"/>
        <v>17</v>
      </c>
      <c r="C30" s="4" t="s">
        <v>465</v>
      </c>
      <c r="D30" s="4" t="s">
        <v>490</v>
      </c>
      <c r="E30" s="4" t="s">
        <v>450</v>
      </c>
      <c r="F30" s="4"/>
      <c r="G30" s="10" t="s">
        <v>180</v>
      </c>
      <c r="H30" s="57"/>
      <c r="K30" s="31" t="s">
        <v>439</v>
      </c>
    </row>
    <row r="31" spans="2:11" ht="19.5" customHeight="1">
      <c r="B31" s="9">
        <f t="shared" si="0"/>
        <v>18</v>
      </c>
      <c r="C31" s="4" t="s">
        <v>466</v>
      </c>
      <c r="D31" s="4" t="s">
        <v>491</v>
      </c>
      <c r="E31" s="4" t="s">
        <v>450</v>
      </c>
      <c r="F31" s="4" t="s">
        <v>179</v>
      </c>
      <c r="G31" s="10"/>
      <c r="H31" s="11"/>
      <c r="K31" s="31" t="s">
        <v>439</v>
      </c>
    </row>
    <row r="32" spans="2:11" ht="19.5" customHeight="1">
      <c r="B32" s="9">
        <f t="shared" si="0"/>
        <v>19</v>
      </c>
      <c r="C32" s="3" t="s">
        <v>467</v>
      </c>
      <c r="D32" s="3" t="s">
        <v>492</v>
      </c>
      <c r="E32" s="4" t="s">
        <v>450</v>
      </c>
      <c r="F32" s="4"/>
      <c r="G32" s="10" t="s">
        <v>186</v>
      </c>
      <c r="H32" s="11" t="s">
        <v>437</v>
      </c>
      <c r="K32" s="3" t="s">
        <v>468</v>
      </c>
    </row>
    <row r="33" spans="2:11" ht="19.5" customHeight="1">
      <c r="B33" s="9">
        <f t="shared" si="0"/>
        <v>20</v>
      </c>
      <c r="C33" s="4" t="s">
        <v>469</v>
      </c>
      <c r="D33" s="4" t="s">
        <v>470</v>
      </c>
      <c r="E33" s="4" t="s">
        <v>450</v>
      </c>
      <c r="F33" s="4" t="s">
        <v>179</v>
      </c>
      <c r="G33" s="10"/>
      <c r="H33" s="11"/>
      <c r="K33" s="4" t="s">
        <v>470</v>
      </c>
    </row>
    <row r="34" spans="2:11" ht="19.5" customHeight="1">
      <c r="B34" s="9">
        <f t="shared" si="0"/>
        <v>21</v>
      </c>
      <c r="C34" s="4" t="s">
        <v>471</v>
      </c>
      <c r="D34" s="4" t="s">
        <v>493</v>
      </c>
      <c r="E34" s="4" t="s">
        <v>460</v>
      </c>
      <c r="F34" s="4"/>
      <c r="G34" s="10"/>
      <c r="H34" s="11"/>
      <c r="K34" s="4" t="s">
        <v>472</v>
      </c>
    </row>
    <row r="35" spans="2:11" ht="19.5" customHeight="1">
      <c r="B35" s="9">
        <f t="shared" si="0"/>
        <v>22</v>
      </c>
      <c r="C35" s="4" t="s">
        <v>109</v>
      </c>
      <c r="D35" s="4" t="s">
        <v>494</v>
      </c>
      <c r="E35" s="4" t="s">
        <v>294</v>
      </c>
      <c r="F35" s="4"/>
      <c r="G35" s="10" t="s">
        <v>300</v>
      </c>
      <c r="H35" s="57"/>
      <c r="K35" s="4" t="s">
        <v>473</v>
      </c>
    </row>
    <row r="36" spans="2:11" ht="19.5" customHeight="1">
      <c r="B36" s="9">
        <f t="shared" si="0"/>
        <v>23</v>
      </c>
      <c r="C36" s="4" t="s">
        <v>111</v>
      </c>
      <c r="D36" s="4" t="s">
        <v>495</v>
      </c>
      <c r="E36" s="4" t="s">
        <v>192</v>
      </c>
      <c r="F36" s="4" t="s">
        <v>179</v>
      </c>
      <c r="G36" s="10" t="s">
        <v>186</v>
      </c>
      <c r="H36" s="57"/>
      <c r="K36" s="4" t="s">
        <v>118</v>
      </c>
    </row>
    <row r="37" spans="2:11" ht="19.5" customHeight="1">
      <c r="B37" s="9">
        <f t="shared" si="0"/>
        <v>24</v>
      </c>
      <c r="C37" s="4" t="s">
        <v>496</v>
      </c>
      <c r="D37" s="4" t="s">
        <v>70</v>
      </c>
      <c r="E37" s="4" t="s">
        <v>192</v>
      </c>
      <c r="F37" s="4" t="s">
        <v>179</v>
      </c>
      <c r="G37" s="10"/>
      <c r="H37" s="57"/>
      <c r="K37" s="4" t="s">
        <v>70</v>
      </c>
    </row>
    <row r="38" spans="2:11" ht="19.5" customHeight="1">
      <c r="B38" s="9">
        <f t="shared" si="0"/>
        <v>25</v>
      </c>
      <c r="C38" s="4" t="s">
        <v>71</v>
      </c>
      <c r="D38" s="4" t="s">
        <v>497</v>
      </c>
      <c r="E38" s="4" t="s">
        <v>192</v>
      </c>
      <c r="F38" s="4" t="s">
        <v>179</v>
      </c>
      <c r="G38" s="10"/>
      <c r="H38" s="57"/>
      <c r="K38" s="4" t="s">
        <v>120</v>
      </c>
    </row>
    <row r="39" spans="2:11" ht="19.5" customHeight="1">
      <c r="B39" s="9">
        <f t="shared" si="0"/>
        <v>26</v>
      </c>
      <c r="C39" s="4" t="s">
        <v>73</v>
      </c>
      <c r="D39" s="4" t="s">
        <v>498</v>
      </c>
      <c r="E39" s="4" t="s">
        <v>294</v>
      </c>
      <c r="F39" s="4" t="s">
        <v>179</v>
      </c>
      <c r="G39" s="10" t="s">
        <v>180</v>
      </c>
      <c r="H39" s="57"/>
      <c r="K39" s="4" t="s">
        <v>113</v>
      </c>
    </row>
    <row r="40" spans="2:11" ht="19.5" customHeight="1">
      <c r="B40" s="9">
        <f t="shared" si="0"/>
        <v>27</v>
      </c>
      <c r="C40" s="4" t="s">
        <v>75</v>
      </c>
      <c r="D40" s="4" t="s">
        <v>499</v>
      </c>
      <c r="E40" s="4" t="s">
        <v>192</v>
      </c>
      <c r="F40" s="4" t="s">
        <v>179</v>
      </c>
      <c r="G40" s="10"/>
      <c r="H40" s="57"/>
      <c r="K40" s="4" t="s">
        <v>121</v>
      </c>
    </row>
    <row r="41" spans="2:11" ht="19.5" customHeight="1">
      <c r="B41" s="9">
        <f t="shared" si="0"/>
        <v>28</v>
      </c>
      <c r="C41" s="4" t="s">
        <v>77</v>
      </c>
      <c r="D41" s="4" t="s">
        <v>474</v>
      </c>
      <c r="E41" s="4" t="s">
        <v>294</v>
      </c>
      <c r="F41" s="4" t="s">
        <v>179</v>
      </c>
      <c r="G41" s="10" t="s">
        <v>180</v>
      </c>
      <c r="H41" s="57"/>
      <c r="K41" s="4" t="s">
        <v>474</v>
      </c>
    </row>
    <row r="42" spans="2:11" ht="19.5" customHeight="1">
      <c r="B42" s="9">
        <f t="shared" si="0"/>
        <v>29</v>
      </c>
      <c r="C42" s="4" t="s">
        <v>79</v>
      </c>
      <c r="D42" s="4" t="s">
        <v>115</v>
      </c>
      <c r="E42" s="4" t="s">
        <v>192</v>
      </c>
      <c r="F42" s="4"/>
      <c r="G42" s="10" t="s">
        <v>180</v>
      </c>
      <c r="H42" s="57"/>
      <c r="K42" s="4" t="s">
        <v>475</v>
      </c>
    </row>
    <row r="43" spans="2:11" ht="19.5" customHeight="1">
      <c r="B43" s="9">
        <f t="shared" si="0"/>
        <v>30</v>
      </c>
      <c r="C43" s="4" t="s">
        <v>81</v>
      </c>
      <c r="D43" s="4" t="s">
        <v>82</v>
      </c>
      <c r="E43" s="4" t="s">
        <v>194</v>
      </c>
      <c r="F43" s="4"/>
      <c r="G43" s="10" t="s">
        <v>180</v>
      </c>
      <c r="H43" s="57"/>
      <c r="K43" s="4" t="s">
        <v>82</v>
      </c>
    </row>
    <row r="44" spans="2:11" ht="19.5" customHeight="1">
      <c r="B44" s="9">
        <f t="shared" si="0"/>
        <v>31</v>
      </c>
      <c r="C44" s="4" t="s">
        <v>83</v>
      </c>
      <c r="D44" s="4" t="s">
        <v>84</v>
      </c>
      <c r="E44" s="4" t="s">
        <v>194</v>
      </c>
      <c r="F44" s="4"/>
      <c r="G44" s="10" t="s">
        <v>180</v>
      </c>
      <c r="H44" s="57"/>
      <c r="K44" s="4" t="s">
        <v>84</v>
      </c>
    </row>
    <row r="45" spans="2:11" ht="19.5" customHeight="1">
      <c r="B45" s="9">
        <f t="shared" si="0"/>
        <v>32</v>
      </c>
      <c r="C45" s="4" t="s">
        <v>85</v>
      </c>
      <c r="D45" s="4" t="s">
        <v>86</v>
      </c>
      <c r="E45" s="4" t="s">
        <v>194</v>
      </c>
      <c r="F45" s="4"/>
      <c r="G45" s="10"/>
      <c r="H45" s="57"/>
      <c r="K45" s="4" t="s">
        <v>86</v>
      </c>
    </row>
    <row r="46" spans="2:11" ht="19.5" customHeight="1">
      <c r="B46" s="9">
        <f t="shared" si="0"/>
        <v>33</v>
      </c>
      <c r="C46" s="4" t="s">
        <v>87</v>
      </c>
      <c r="D46" s="4" t="s">
        <v>88</v>
      </c>
      <c r="E46" s="4" t="s">
        <v>194</v>
      </c>
      <c r="F46" s="5"/>
      <c r="G46" s="12" t="s">
        <v>180</v>
      </c>
      <c r="H46" s="58"/>
      <c r="K46" s="4" t="s">
        <v>88</v>
      </c>
    </row>
    <row r="47" spans="2:11" ht="16.5" thickBot="1">
      <c r="C47" s="5" t="s">
        <v>89</v>
      </c>
      <c r="D47" s="5" t="s">
        <v>90</v>
      </c>
      <c r="E47" s="5" t="s">
        <v>194</v>
      </c>
      <c r="F47" s="6"/>
      <c r="K47" s="5" t="s">
        <v>90</v>
      </c>
    </row>
    <row r="48" spans="2:11" ht="16.5" thickBot="1">
      <c r="C48" s="6" t="s">
        <v>91</v>
      </c>
      <c r="D48" s="6" t="s">
        <v>476</v>
      </c>
      <c r="E48" s="6" t="s">
        <v>194</v>
      </c>
      <c r="K48" s="6" t="s">
        <v>476</v>
      </c>
    </row>
  </sheetData>
  <phoneticPr fontId="9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BuildSQL">
          <controlPr defaultSize="0" autoLine="0" r:id="rId5">
            <anchor moveWithCells="1">
              <from>
                <xdr:col>10</xdr:col>
                <xdr:colOff>0</xdr:colOff>
                <xdr:row>5</xdr:row>
                <xdr:rowOff>76200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3313" r:id="rId4" name="BuildSQL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98"/>
  <sheetViews>
    <sheetView zoomScaleNormal="100" workbookViewId="0">
      <selection activeCell="K10" sqref="K10"/>
    </sheetView>
  </sheetViews>
  <sheetFormatPr defaultRowHeight="15.75"/>
  <cols>
    <col min="1" max="1" width="2" style="16" customWidth="1"/>
    <col min="2" max="2" width="4" style="16" customWidth="1"/>
    <col min="3" max="3" width="18.21875" style="16" customWidth="1"/>
    <col min="4" max="4" width="18.109375" style="16" customWidth="1"/>
    <col min="5" max="5" width="13" style="16" customWidth="1"/>
    <col min="6" max="7" width="5.6640625" style="16" customWidth="1"/>
    <col min="8" max="8" width="2.77734375" style="16" customWidth="1"/>
    <col min="9" max="10" width="3.33203125" style="16" customWidth="1"/>
    <col min="11" max="11" width="20" style="16" customWidth="1"/>
    <col min="12" max="16384" width="8.88671875" style="16"/>
  </cols>
  <sheetData>
    <row r="1" spans="2:11" ht="0.75" customHeight="1"/>
    <row r="2" spans="2:11" ht="0.75" customHeight="1"/>
    <row r="3" spans="2:11" ht="0.75" customHeight="1"/>
    <row r="4" spans="2:11" ht="0.75" customHeight="1"/>
    <row r="5" spans="2:11" ht="0.75" customHeight="1"/>
    <row r="7" spans="2:11">
      <c r="B7" s="15" t="s">
        <v>307</v>
      </c>
      <c r="K7" s="15"/>
    </row>
    <row r="8" spans="2:11">
      <c r="B8" s="15"/>
    </row>
    <row r="9" spans="2:11">
      <c r="B9" s="15"/>
      <c r="C9" s="17" t="s">
        <v>308</v>
      </c>
      <c r="D9" s="18" t="s">
        <v>309</v>
      </c>
      <c r="K9" s="19" t="s">
        <v>314</v>
      </c>
    </row>
    <row r="10" spans="2:11">
      <c r="B10" s="15"/>
      <c r="C10" s="17" t="s">
        <v>310</v>
      </c>
      <c r="D10" s="20" t="s">
        <v>311</v>
      </c>
      <c r="E10" s="16" t="s">
        <v>315</v>
      </c>
      <c r="K10" s="50" t="s">
        <v>506</v>
      </c>
    </row>
    <row r="11" spans="2:11">
      <c r="B11" s="15"/>
      <c r="C11" s="17" t="s">
        <v>312</v>
      </c>
      <c r="D11" s="53" t="str">
        <f>D10&amp;"_bk"</f>
        <v>t_recruit_request_sheet_bk</v>
      </c>
      <c r="K11" s="15"/>
    </row>
    <row r="12" spans="2:11" ht="16.5" thickBot="1"/>
    <row r="13" spans="2:11">
      <c r="B13" s="22" t="s">
        <v>172</v>
      </c>
      <c r="C13" s="23" t="s">
        <v>173</v>
      </c>
      <c r="D13" s="23" t="s">
        <v>174</v>
      </c>
      <c r="E13" s="23" t="s">
        <v>175</v>
      </c>
      <c r="F13" s="23" t="s">
        <v>176</v>
      </c>
      <c r="G13" s="23" t="s">
        <v>177</v>
      </c>
      <c r="H13" s="24" t="s">
        <v>66</v>
      </c>
      <c r="K13" s="25" t="s">
        <v>122</v>
      </c>
    </row>
    <row r="14" spans="2:11">
      <c r="B14" s="26">
        <f t="shared" ref="B14:B96" si="0">ROW()-13</f>
        <v>1</v>
      </c>
      <c r="C14" s="27" t="s">
        <v>128</v>
      </c>
      <c r="D14" s="28" t="s">
        <v>129</v>
      </c>
      <c r="E14" s="28" t="s">
        <v>178</v>
      </c>
      <c r="F14" s="28" t="s">
        <v>179</v>
      </c>
      <c r="G14" s="29" t="s">
        <v>180</v>
      </c>
      <c r="H14" s="30"/>
      <c r="K14" s="28" t="s">
        <v>129</v>
      </c>
    </row>
    <row r="15" spans="2:11">
      <c r="B15" s="26">
        <f t="shared" si="0"/>
        <v>2</v>
      </c>
      <c r="C15" s="32" t="s">
        <v>157</v>
      </c>
      <c r="D15" s="28" t="s">
        <v>130</v>
      </c>
      <c r="E15" s="28" t="s">
        <v>181</v>
      </c>
      <c r="F15" s="28" t="s">
        <v>179</v>
      </c>
      <c r="G15" s="29" t="s">
        <v>180</v>
      </c>
      <c r="H15" s="30" t="s">
        <v>182</v>
      </c>
      <c r="K15" s="28" t="s">
        <v>130</v>
      </c>
    </row>
    <row r="16" spans="2:11">
      <c r="B16" s="26">
        <f t="shared" si="0"/>
        <v>3</v>
      </c>
      <c r="C16" s="32" t="s">
        <v>166</v>
      </c>
      <c r="D16" s="28" t="s">
        <v>131</v>
      </c>
      <c r="E16" s="28" t="s">
        <v>183</v>
      </c>
      <c r="F16" s="28" t="s">
        <v>184</v>
      </c>
      <c r="G16" s="29" t="s">
        <v>180</v>
      </c>
      <c r="H16" s="30" t="s">
        <v>180</v>
      </c>
      <c r="K16" s="28" t="s">
        <v>131</v>
      </c>
    </row>
    <row r="17" spans="2:11">
      <c r="B17" s="26">
        <f t="shared" si="0"/>
        <v>4</v>
      </c>
      <c r="C17" s="28" t="s">
        <v>132</v>
      </c>
      <c r="D17" s="28" t="s">
        <v>185</v>
      </c>
      <c r="E17" s="28" t="s">
        <v>183</v>
      </c>
      <c r="F17" s="28" t="s">
        <v>184</v>
      </c>
      <c r="G17" s="29" t="s">
        <v>186</v>
      </c>
      <c r="H17" s="30" t="s">
        <v>187</v>
      </c>
      <c r="K17" s="28" t="s">
        <v>185</v>
      </c>
    </row>
    <row r="18" spans="2:11">
      <c r="B18" s="26">
        <f t="shared" si="0"/>
        <v>5</v>
      </c>
      <c r="C18" s="28" t="s">
        <v>133</v>
      </c>
      <c r="D18" s="33" t="s">
        <v>134</v>
      </c>
      <c r="E18" s="28" t="s">
        <v>183</v>
      </c>
      <c r="F18" s="28" t="s">
        <v>188</v>
      </c>
      <c r="G18" s="29" t="s">
        <v>186</v>
      </c>
      <c r="H18" s="30" t="s">
        <v>189</v>
      </c>
      <c r="K18" s="33" t="s">
        <v>134</v>
      </c>
    </row>
    <row r="19" spans="2:11">
      <c r="B19" s="26">
        <f t="shared" si="0"/>
        <v>6</v>
      </c>
      <c r="C19" s="28" t="s">
        <v>135</v>
      </c>
      <c r="D19" s="28" t="s">
        <v>136</v>
      </c>
      <c r="E19" s="28" t="s">
        <v>190</v>
      </c>
      <c r="F19" s="28"/>
      <c r="G19" s="29"/>
      <c r="H19" s="30" t="s">
        <v>191</v>
      </c>
      <c r="K19" s="28" t="s">
        <v>136</v>
      </c>
    </row>
    <row r="20" spans="2:11">
      <c r="B20" s="26">
        <f t="shared" si="0"/>
        <v>7</v>
      </c>
      <c r="C20" s="28" t="s">
        <v>137</v>
      </c>
      <c r="D20" s="28" t="s">
        <v>138</v>
      </c>
      <c r="E20" s="28" t="s">
        <v>192</v>
      </c>
      <c r="F20" s="28"/>
      <c r="G20" s="29" t="s">
        <v>186</v>
      </c>
      <c r="H20" s="30" t="s">
        <v>193</v>
      </c>
      <c r="K20" s="28" t="s">
        <v>138</v>
      </c>
    </row>
    <row r="21" spans="2:11">
      <c r="B21" s="26">
        <f t="shared" si="0"/>
        <v>8</v>
      </c>
      <c r="C21" s="28" t="s">
        <v>139</v>
      </c>
      <c r="D21" s="28" t="s">
        <v>140</v>
      </c>
      <c r="E21" s="28" t="s">
        <v>194</v>
      </c>
      <c r="F21" s="28"/>
      <c r="G21" s="29" t="s">
        <v>180</v>
      </c>
      <c r="H21" s="30" t="s">
        <v>193</v>
      </c>
      <c r="K21" s="28" t="s">
        <v>140</v>
      </c>
    </row>
    <row r="22" spans="2:11">
      <c r="B22" s="26">
        <f t="shared" si="0"/>
        <v>9</v>
      </c>
      <c r="C22" s="28" t="s">
        <v>167</v>
      </c>
      <c r="D22" s="28" t="s">
        <v>117</v>
      </c>
      <c r="E22" s="28" t="s">
        <v>195</v>
      </c>
      <c r="F22" s="28"/>
      <c r="G22" s="29" t="s">
        <v>180</v>
      </c>
      <c r="H22" s="30" t="s">
        <v>180</v>
      </c>
      <c r="K22" s="28" t="s">
        <v>117</v>
      </c>
    </row>
    <row r="23" spans="2:11">
      <c r="B23" s="26">
        <f t="shared" si="0"/>
        <v>10</v>
      </c>
      <c r="C23" s="28" t="s">
        <v>196</v>
      </c>
      <c r="D23" s="28" t="s">
        <v>197</v>
      </c>
      <c r="E23" s="28" t="s">
        <v>195</v>
      </c>
      <c r="F23" s="28"/>
      <c r="G23" s="29" t="s">
        <v>180</v>
      </c>
      <c r="H23" s="30" t="s">
        <v>198</v>
      </c>
      <c r="K23" s="28" t="s">
        <v>197</v>
      </c>
    </row>
    <row r="24" spans="2:11">
      <c r="B24" s="26">
        <f t="shared" si="0"/>
        <v>11</v>
      </c>
      <c r="C24" s="28" t="s">
        <v>142</v>
      </c>
      <c r="D24" s="28" t="s">
        <v>143</v>
      </c>
      <c r="E24" s="28" t="s">
        <v>195</v>
      </c>
      <c r="F24" s="28"/>
      <c r="G24" s="29" t="s">
        <v>180</v>
      </c>
      <c r="H24" s="30" t="s">
        <v>180</v>
      </c>
      <c r="K24" s="28" t="s">
        <v>143</v>
      </c>
    </row>
    <row r="25" spans="2:11">
      <c r="B25" s="26">
        <f t="shared" si="0"/>
        <v>12</v>
      </c>
      <c r="C25" s="28" t="s">
        <v>97</v>
      </c>
      <c r="D25" s="28" t="s">
        <v>199</v>
      </c>
      <c r="E25" s="28" t="s">
        <v>195</v>
      </c>
      <c r="F25" s="28"/>
      <c r="G25" s="29" t="s">
        <v>180</v>
      </c>
      <c r="H25" s="30" t="s">
        <v>180</v>
      </c>
      <c r="K25" s="28" t="s">
        <v>199</v>
      </c>
    </row>
    <row r="26" spans="2:11">
      <c r="B26" s="26">
        <f t="shared" si="0"/>
        <v>13</v>
      </c>
      <c r="C26" s="28" t="s">
        <v>99</v>
      </c>
      <c r="D26" s="28" t="s">
        <v>100</v>
      </c>
      <c r="E26" s="28" t="s">
        <v>195</v>
      </c>
      <c r="F26" s="28"/>
      <c r="G26" s="29" t="s">
        <v>180</v>
      </c>
      <c r="H26" s="30" t="s">
        <v>200</v>
      </c>
      <c r="K26" s="28" t="s">
        <v>100</v>
      </c>
    </row>
    <row r="27" spans="2:11">
      <c r="B27" s="26">
        <f t="shared" si="0"/>
        <v>14</v>
      </c>
      <c r="C27" s="28" t="s">
        <v>102</v>
      </c>
      <c r="D27" s="28" t="s">
        <v>107</v>
      </c>
      <c r="E27" s="28" t="s">
        <v>183</v>
      </c>
      <c r="F27" s="28"/>
      <c r="G27" s="29" t="s">
        <v>202</v>
      </c>
      <c r="H27" s="30" t="s">
        <v>203</v>
      </c>
      <c r="K27" s="28" t="s">
        <v>107</v>
      </c>
    </row>
    <row r="28" spans="2:11">
      <c r="B28" s="26">
        <f t="shared" si="0"/>
        <v>15</v>
      </c>
      <c r="C28" s="28" t="s">
        <v>145</v>
      </c>
      <c r="D28" s="28" t="s">
        <v>33</v>
      </c>
      <c r="E28" s="28" t="s">
        <v>194</v>
      </c>
      <c r="F28" s="28"/>
      <c r="G28" s="29" t="s">
        <v>180</v>
      </c>
      <c r="H28" s="30" t="s">
        <v>193</v>
      </c>
      <c r="K28" s="28" t="s">
        <v>33</v>
      </c>
    </row>
    <row r="29" spans="2:11">
      <c r="B29" s="26">
        <f t="shared" si="0"/>
        <v>16</v>
      </c>
      <c r="C29" s="28" t="s">
        <v>168</v>
      </c>
      <c r="D29" s="28" t="s">
        <v>146</v>
      </c>
      <c r="E29" s="28" t="s">
        <v>192</v>
      </c>
      <c r="F29" s="28"/>
      <c r="G29" s="29" t="s">
        <v>204</v>
      </c>
      <c r="H29" s="30"/>
      <c r="K29" s="28" t="s">
        <v>146</v>
      </c>
    </row>
    <row r="30" spans="2:11">
      <c r="B30" s="67">
        <f t="shared" si="0"/>
        <v>17</v>
      </c>
      <c r="C30" s="68" t="s">
        <v>414</v>
      </c>
      <c r="D30" s="68" t="s">
        <v>415</v>
      </c>
      <c r="E30" s="68" t="s">
        <v>416</v>
      </c>
      <c r="F30" s="28"/>
      <c r="G30" s="29"/>
      <c r="H30" s="30"/>
      <c r="K30" s="68" t="s">
        <v>415</v>
      </c>
    </row>
    <row r="31" spans="2:11">
      <c r="B31" s="67">
        <f t="shared" si="0"/>
        <v>18</v>
      </c>
      <c r="C31" s="68" t="s">
        <v>417</v>
      </c>
      <c r="D31" s="68" t="s">
        <v>418</v>
      </c>
      <c r="E31" s="68" t="s">
        <v>416</v>
      </c>
      <c r="F31" s="28"/>
      <c r="G31" s="29"/>
      <c r="H31" s="30"/>
      <c r="K31" s="68" t="s">
        <v>418</v>
      </c>
    </row>
    <row r="32" spans="2:11">
      <c r="B32" s="69">
        <f t="shared" si="0"/>
        <v>19</v>
      </c>
      <c r="C32" s="70" t="s">
        <v>419</v>
      </c>
      <c r="D32" s="68" t="s">
        <v>420</v>
      </c>
      <c r="E32" s="70" t="s">
        <v>416</v>
      </c>
      <c r="F32" s="28"/>
      <c r="G32" s="29"/>
      <c r="H32" s="30"/>
      <c r="K32" s="68" t="s">
        <v>420</v>
      </c>
    </row>
    <row r="33" spans="2:11">
      <c r="B33" s="26">
        <f t="shared" si="0"/>
        <v>20</v>
      </c>
      <c r="C33" s="28" t="s">
        <v>147</v>
      </c>
      <c r="D33" s="28" t="s">
        <v>148</v>
      </c>
      <c r="E33" s="28" t="s">
        <v>183</v>
      </c>
      <c r="F33" s="28"/>
      <c r="G33" s="29"/>
      <c r="H33" s="30" t="s">
        <v>205</v>
      </c>
      <c r="K33" s="28" t="s">
        <v>148</v>
      </c>
    </row>
    <row r="34" spans="2:11">
      <c r="B34" s="26">
        <f t="shared" si="0"/>
        <v>21</v>
      </c>
      <c r="C34" s="28" t="s">
        <v>169</v>
      </c>
      <c r="D34" s="28" t="s">
        <v>149</v>
      </c>
      <c r="E34" s="28" t="s">
        <v>194</v>
      </c>
      <c r="F34" s="28"/>
      <c r="G34" s="29" t="s">
        <v>180</v>
      </c>
      <c r="H34" s="30" t="s">
        <v>193</v>
      </c>
      <c r="K34" s="28" t="s">
        <v>149</v>
      </c>
    </row>
    <row r="35" spans="2:11">
      <c r="B35" s="26">
        <f t="shared" si="0"/>
        <v>22</v>
      </c>
      <c r="C35" s="28" t="s">
        <v>150</v>
      </c>
      <c r="D35" s="28" t="s">
        <v>151</v>
      </c>
      <c r="E35" s="28" t="s">
        <v>206</v>
      </c>
      <c r="F35" s="28"/>
      <c r="G35" s="29"/>
      <c r="H35" s="30"/>
      <c r="K35" s="28" t="s">
        <v>151</v>
      </c>
    </row>
    <row r="36" spans="2:11">
      <c r="B36" s="26">
        <f t="shared" si="0"/>
        <v>23</v>
      </c>
      <c r="C36" s="28" t="s">
        <v>152</v>
      </c>
      <c r="D36" s="28" t="s">
        <v>153</v>
      </c>
      <c r="E36" s="28" t="s">
        <v>206</v>
      </c>
      <c r="F36" s="28"/>
      <c r="G36" s="29"/>
      <c r="H36" s="30"/>
      <c r="K36" s="28" t="s">
        <v>153</v>
      </c>
    </row>
    <row r="37" spans="2:11" ht="34.5" customHeight="1">
      <c r="B37" s="26">
        <f t="shared" si="0"/>
        <v>24</v>
      </c>
      <c r="C37" s="28" t="s">
        <v>165</v>
      </c>
      <c r="D37" s="32" t="s">
        <v>170</v>
      </c>
      <c r="E37" s="28" t="s">
        <v>206</v>
      </c>
      <c r="F37" s="28"/>
      <c r="G37" s="29"/>
      <c r="H37" s="35" t="s">
        <v>207</v>
      </c>
      <c r="K37" s="32" t="s">
        <v>170</v>
      </c>
    </row>
    <row r="38" spans="2:11">
      <c r="B38" s="26">
        <f t="shared" si="0"/>
        <v>25</v>
      </c>
      <c r="C38" s="28" t="s">
        <v>162</v>
      </c>
      <c r="D38" s="28" t="s">
        <v>171</v>
      </c>
      <c r="E38" s="28" t="s">
        <v>194</v>
      </c>
      <c r="F38" s="28"/>
      <c r="G38" s="29" t="s">
        <v>180</v>
      </c>
      <c r="H38" s="30" t="s">
        <v>180</v>
      </c>
      <c r="K38" s="28" t="s">
        <v>171</v>
      </c>
    </row>
    <row r="39" spans="2:11">
      <c r="B39" s="37">
        <f t="shared" si="0"/>
        <v>26</v>
      </c>
      <c r="C39" s="38" t="s">
        <v>208</v>
      </c>
      <c r="D39" s="38" t="s">
        <v>209</v>
      </c>
      <c r="E39" s="38" t="s">
        <v>183</v>
      </c>
      <c r="F39" s="38"/>
      <c r="G39" s="39" t="s">
        <v>180</v>
      </c>
      <c r="H39" s="40" t="s">
        <v>210</v>
      </c>
      <c r="K39" s="38" t="s">
        <v>209</v>
      </c>
    </row>
    <row r="40" spans="2:11">
      <c r="B40" s="37">
        <f t="shared" si="0"/>
        <v>27</v>
      </c>
      <c r="C40" s="38" t="s">
        <v>211</v>
      </c>
      <c r="D40" s="38" t="s">
        <v>212</v>
      </c>
      <c r="E40" s="38" t="s">
        <v>183</v>
      </c>
      <c r="F40" s="38"/>
      <c r="G40" s="39" t="s">
        <v>180</v>
      </c>
      <c r="H40" s="40" t="s">
        <v>210</v>
      </c>
      <c r="K40" s="38" t="s">
        <v>212</v>
      </c>
    </row>
    <row r="41" spans="2:11">
      <c r="B41" s="37">
        <f t="shared" si="0"/>
        <v>28</v>
      </c>
      <c r="C41" s="38" t="s">
        <v>213</v>
      </c>
      <c r="D41" s="38" t="s">
        <v>214</v>
      </c>
      <c r="E41" s="38" t="s">
        <v>183</v>
      </c>
      <c r="F41" s="38"/>
      <c r="G41" s="39" t="s">
        <v>180</v>
      </c>
      <c r="H41" s="40" t="s">
        <v>210</v>
      </c>
      <c r="K41" s="38" t="s">
        <v>214</v>
      </c>
    </row>
    <row r="42" spans="2:11">
      <c r="B42" s="37">
        <f t="shared" si="0"/>
        <v>29</v>
      </c>
      <c r="C42" s="38" t="s">
        <v>215</v>
      </c>
      <c r="D42" s="38" t="s">
        <v>216</v>
      </c>
      <c r="E42" s="38" t="s">
        <v>206</v>
      </c>
      <c r="F42" s="38"/>
      <c r="G42" s="39" t="s">
        <v>180</v>
      </c>
      <c r="H42" s="40" t="s">
        <v>210</v>
      </c>
      <c r="K42" s="38" t="s">
        <v>216</v>
      </c>
    </row>
    <row r="43" spans="2:11">
      <c r="B43" s="37">
        <f t="shared" si="0"/>
        <v>30</v>
      </c>
      <c r="C43" s="38" t="s">
        <v>217</v>
      </c>
      <c r="D43" s="38" t="s">
        <v>218</v>
      </c>
      <c r="E43" s="38" t="s">
        <v>206</v>
      </c>
      <c r="F43" s="38"/>
      <c r="G43" s="39" t="s">
        <v>180</v>
      </c>
      <c r="H43" s="40" t="s">
        <v>210</v>
      </c>
      <c r="K43" s="38" t="s">
        <v>218</v>
      </c>
    </row>
    <row r="44" spans="2:11">
      <c r="B44" s="37">
        <f t="shared" si="0"/>
        <v>31</v>
      </c>
      <c r="C44" s="38" t="s">
        <v>219</v>
      </c>
      <c r="D44" s="38" t="s">
        <v>220</v>
      </c>
      <c r="E44" s="38" t="s">
        <v>206</v>
      </c>
      <c r="F44" s="38"/>
      <c r="G44" s="39" t="s">
        <v>180</v>
      </c>
      <c r="H44" s="40" t="s">
        <v>210</v>
      </c>
      <c r="K44" s="38" t="s">
        <v>220</v>
      </c>
    </row>
    <row r="45" spans="2:11">
      <c r="B45" s="37">
        <f t="shared" si="0"/>
        <v>32</v>
      </c>
      <c r="C45" s="38" t="s">
        <v>221</v>
      </c>
      <c r="D45" s="38" t="s">
        <v>222</v>
      </c>
      <c r="E45" s="38" t="s">
        <v>206</v>
      </c>
      <c r="F45" s="38"/>
      <c r="G45" s="39" t="s">
        <v>180</v>
      </c>
      <c r="H45" s="40" t="s">
        <v>210</v>
      </c>
      <c r="K45" s="38" t="s">
        <v>222</v>
      </c>
    </row>
    <row r="46" spans="2:11">
      <c r="B46" s="37">
        <f t="shared" si="0"/>
        <v>33</v>
      </c>
      <c r="C46" s="38" t="s">
        <v>223</v>
      </c>
      <c r="D46" s="38" t="s">
        <v>224</v>
      </c>
      <c r="E46" s="38" t="s">
        <v>206</v>
      </c>
      <c r="F46" s="38"/>
      <c r="G46" s="39" t="s">
        <v>180</v>
      </c>
      <c r="H46" s="40" t="s">
        <v>210</v>
      </c>
      <c r="K46" s="38" t="s">
        <v>224</v>
      </c>
    </row>
    <row r="47" spans="2:11">
      <c r="B47" s="37">
        <f t="shared" si="0"/>
        <v>34</v>
      </c>
      <c r="C47" s="38" t="s">
        <v>225</v>
      </c>
      <c r="D47" s="38" t="s">
        <v>226</v>
      </c>
      <c r="E47" s="38" t="s">
        <v>206</v>
      </c>
      <c r="F47" s="38"/>
      <c r="G47" s="39" t="s">
        <v>180</v>
      </c>
      <c r="H47" s="40" t="s">
        <v>210</v>
      </c>
      <c r="K47" s="38" t="s">
        <v>226</v>
      </c>
    </row>
    <row r="48" spans="2:11">
      <c r="B48" s="37">
        <f t="shared" si="0"/>
        <v>35</v>
      </c>
      <c r="C48" s="38" t="s">
        <v>227</v>
      </c>
      <c r="D48" s="38" t="s">
        <v>228</v>
      </c>
      <c r="E48" s="38" t="s">
        <v>206</v>
      </c>
      <c r="F48" s="38"/>
      <c r="G48" s="39" t="s">
        <v>180</v>
      </c>
      <c r="H48" s="40" t="s">
        <v>210</v>
      </c>
      <c r="K48" s="38" t="s">
        <v>228</v>
      </c>
    </row>
    <row r="49" spans="2:11">
      <c r="B49" s="37">
        <f t="shared" si="0"/>
        <v>36</v>
      </c>
      <c r="C49" s="38" t="s">
        <v>229</v>
      </c>
      <c r="D49" s="38" t="s">
        <v>230</v>
      </c>
      <c r="E49" s="38" t="s">
        <v>206</v>
      </c>
      <c r="F49" s="38"/>
      <c r="G49" s="39" t="s">
        <v>180</v>
      </c>
      <c r="H49" s="40" t="s">
        <v>210</v>
      </c>
      <c r="K49" s="38" t="s">
        <v>230</v>
      </c>
    </row>
    <row r="50" spans="2:11">
      <c r="B50" s="37">
        <f t="shared" si="0"/>
        <v>37</v>
      </c>
      <c r="C50" s="38" t="s">
        <v>231</v>
      </c>
      <c r="D50" s="38" t="s">
        <v>232</v>
      </c>
      <c r="E50" s="38" t="s">
        <v>206</v>
      </c>
      <c r="F50" s="38"/>
      <c r="G50" s="39" t="s">
        <v>180</v>
      </c>
      <c r="H50" s="40" t="s">
        <v>210</v>
      </c>
      <c r="K50" s="38" t="s">
        <v>232</v>
      </c>
    </row>
    <row r="51" spans="2:11">
      <c r="B51" s="37">
        <f t="shared" si="0"/>
        <v>38</v>
      </c>
      <c r="C51" s="38" t="s">
        <v>233</v>
      </c>
      <c r="D51" s="38" t="s">
        <v>234</v>
      </c>
      <c r="E51" s="38" t="s">
        <v>206</v>
      </c>
      <c r="F51" s="38"/>
      <c r="G51" s="39" t="s">
        <v>180</v>
      </c>
      <c r="H51" s="40" t="s">
        <v>210</v>
      </c>
      <c r="K51" s="38" t="s">
        <v>234</v>
      </c>
    </row>
    <row r="52" spans="2:11">
      <c r="B52" s="37">
        <f t="shared" si="0"/>
        <v>39</v>
      </c>
      <c r="C52" s="38" t="s">
        <v>235</v>
      </c>
      <c r="D52" s="38" t="s">
        <v>236</v>
      </c>
      <c r="E52" s="38" t="s">
        <v>206</v>
      </c>
      <c r="F52" s="38"/>
      <c r="G52" s="39" t="s">
        <v>180</v>
      </c>
      <c r="H52" s="40" t="s">
        <v>210</v>
      </c>
      <c r="K52" s="38" t="s">
        <v>236</v>
      </c>
    </row>
    <row r="53" spans="2:11">
      <c r="B53" s="37">
        <f t="shared" si="0"/>
        <v>40</v>
      </c>
      <c r="C53" s="38" t="s">
        <v>237</v>
      </c>
      <c r="D53" s="38" t="s">
        <v>238</v>
      </c>
      <c r="E53" s="38" t="s">
        <v>206</v>
      </c>
      <c r="F53" s="38"/>
      <c r="G53" s="39" t="s">
        <v>180</v>
      </c>
      <c r="H53" s="40" t="s">
        <v>210</v>
      </c>
      <c r="K53" s="38" t="s">
        <v>238</v>
      </c>
    </row>
    <row r="54" spans="2:11">
      <c r="B54" s="37">
        <f t="shared" si="0"/>
        <v>41</v>
      </c>
      <c r="C54" s="38" t="s">
        <v>239</v>
      </c>
      <c r="D54" s="38" t="s">
        <v>240</v>
      </c>
      <c r="E54" s="38" t="s">
        <v>206</v>
      </c>
      <c r="F54" s="38"/>
      <c r="G54" s="39" t="s">
        <v>180</v>
      </c>
      <c r="H54" s="40" t="s">
        <v>210</v>
      </c>
      <c r="K54" s="38" t="s">
        <v>240</v>
      </c>
    </row>
    <row r="55" spans="2:11">
      <c r="B55" s="37">
        <f t="shared" si="0"/>
        <v>42</v>
      </c>
      <c r="C55" s="38" t="s">
        <v>241</v>
      </c>
      <c r="D55" s="38" t="s">
        <v>242</v>
      </c>
      <c r="E55" s="38" t="s">
        <v>206</v>
      </c>
      <c r="F55" s="38"/>
      <c r="G55" s="39" t="s">
        <v>180</v>
      </c>
      <c r="H55" s="40" t="s">
        <v>210</v>
      </c>
      <c r="K55" s="38" t="s">
        <v>242</v>
      </c>
    </row>
    <row r="56" spans="2:11">
      <c r="B56" s="37">
        <f t="shared" si="0"/>
        <v>43</v>
      </c>
      <c r="C56" s="38" t="s">
        <v>243</v>
      </c>
      <c r="D56" s="38" t="s">
        <v>244</v>
      </c>
      <c r="E56" s="38" t="s">
        <v>206</v>
      </c>
      <c r="F56" s="38"/>
      <c r="G56" s="39" t="s">
        <v>180</v>
      </c>
      <c r="H56" s="40" t="s">
        <v>210</v>
      </c>
      <c r="K56" s="38" t="s">
        <v>244</v>
      </c>
    </row>
    <row r="57" spans="2:11">
      <c r="B57" s="37">
        <f t="shared" si="0"/>
        <v>44</v>
      </c>
      <c r="C57" s="38" t="s">
        <v>245</v>
      </c>
      <c r="D57" s="38" t="s">
        <v>246</v>
      </c>
      <c r="E57" s="38" t="s">
        <v>206</v>
      </c>
      <c r="F57" s="38"/>
      <c r="G57" s="39" t="s">
        <v>180</v>
      </c>
      <c r="H57" s="40" t="s">
        <v>210</v>
      </c>
      <c r="K57" s="38" t="s">
        <v>246</v>
      </c>
    </row>
    <row r="58" spans="2:11">
      <c r="B58" s="37">
        <f t="shared" si="0"/>
        <v>45</v>
      </c>
      <c r="C58" s="38" t="s">
        <v>247</v>
      </c>
      <c r="D58" s="38" t="s">
        <v>248</v>
      </c>
      <c r="E58" s="38" t="s">
        <v>206</v>
      </c>
      <c r="F58" s="38"/>
      <c r="G58" s="39" t="s">
        <v>180</v>
      </c>
      <c r="H58" s="40" t="s">
        <v>210</v>
      </c>
      <c r="K58" s="38" t="s">
        <v>248</v>
      </c>
    </row>
    <row r="59" spans="2:11">
      <c r="B59" s="37">
        <f t="shared" si="0"/>
        <v>46</v>
      </c>
      <c r="C59" s="38" t="s">
        <v>249</v>
      </c>
      <c r="D59" s="38" t="s">
        <v>250</v>
      </c>
      <c r="E59" s="38" t="s">
        <v>206</v>
      </c>
      <c r="F59" s="38"/>
      <c r="G59" s="39" t="s">
        <v>180</v>
      </c>
      <c r="H59" s="40" t="s">
        <v>210</v>
      </c>
      <c r="K59" s="38" t="s">
        <v>250</v>
      </c>
    </row>
    <row r="60" spans="2:11">
      <c r="B60" s="37">
        <f t="shared" si="0"/>
        <v>47</v>
      </c>
      <c r="C60" s="38" t="s">
        <v>251</v>
      </c>
      <c r="D60" s="38" t="s">
        <v>252</v>
      </c>
      <c r="E60" s="38" t="s">
        <v>206</v>
      </c>
      <c r="F60" s="38"/>
      <c r="G60" s="39" t="s">
        <v>180</v>
      </c>
      <c r="H60" s="40" t="s">
        <v>210</v>
      </c>
      <c r="K60" s="38" t="s">
        <v>252</v>
      </c>
    </row>
    <row r="61" spans="2:11">
      <c r="B61" s="37">
        <f t="shared" si="0"/>
        <v>48</v>
      </c>
      <c r="C61" s="38" t="s">
        <v>253</v>
      </c>
      <c r="D61" s="38" t="s">
        <v>254</v>
      </c>
      <c r="E61" s="38" t="s">
        <v>206</v>
      </c>
      <c r="F61" s="38"/>
      <c r="G61" s="39" t="s">
        <v>180</v>
      </c>
      <c r="H61" s="40" t="s">
        <v>210</v>
      </c>
      <c r="K61" s="38" t="s">
        <v>254</v>
      </c>
    </row>
    <row r="62" spans="2:11">
      <c r="B62" s="37">
        <f t="shared" si="0"/>
        <v>49</v>
      </c>
      <c r="C62" s="38" t="s">
        <v>255</v>
      </c>
      <c r="D62" s="38" t="s">
        <v>256</v>
      </c>
      <c r="E62" s="38" t="s">
        <v>183</v>
      </c>
      <c r="F62" s="38"/>
      <c r="G62" s="39" t="s">
        <v>180</v>
      </c>
      <c r="H62" s="40" t="s">
        <v>210</v>
      </c>
      <c r="K62" s="38" t="s">
        <v>256</v>
      </c>
    </row>
    <row r="63" spans="2:11">
      <c r="B63" s="37">
        <f t="shared" si="0"/>
        <v>50</v>
      </c>
      <c r="C63" s="38" t="s">
        <v>257</v>
      </c>
      <c r="D63" s="38" t="s">
        <v>258</v>
      </c>
      <c r="E63" s="38" t="s">
        <v>183</v>
      </c>
      <c r="F63" s="38"/>
      <c r="G63" s="39" t="s">
        <v>180</v>
      </c>
      <c r="H63" s="40" t="s">
        <v>210</v>
      </c>
      <c r="K63" s="38" t="s">
        <v>258</v>
      </c>
    </row>
    <row r="64" spans="2:11">
      <c r="B64" s="37">
        <f t="shared" si="0"/>
        <v>51</v>
      </c>
      <c r="C64" s="38" t="s">
        <v>259</v>
      </c>
      <c r="D64" s="38" t="s">
        <v>260</v>
      </c>
      <c r="E64" s="38" t="s">
        <v>183</v>
      </c>
      <c r="F64" s="38"/>
      <c r="G64" s="39" t="s">
        <v>180</v>
      </c>
      <c r="H64" s="40" t="s">
        <v>210</v>
      </c>
      <c r="K64" s="38" t="s">
        <v>260</v>
      </c>
    </row>
    <row r="65" spans="2:11">
      <c r="B65" s="37">
        <f t="shared" si="0"/>
        <v>52</v>
      </c>
      <c r="C65" s="38" t="s">
        <v>261</v>
      </c>
      <c r="D65" s="38" t="s">
        <v>262</v>
      </c>
      <c r="E65" s="38" t="s">
        <v>183</v>
      </c>
      <c r="F65" s="38"/>
      <c r="G65" s="39" t="s">
        <v>180</v>
      </c>
      <c r="H65" s="40" t="s">
        <v>210</v>
      </c>
      <c r="K65" s="38" t="s">
        <v>262</v>
      </c>
    </row>
    <row r="66" spans="2:11">
      <c r="B66" s="37">
        <f t="shared" si="0"/>
        <v>53</v>
      </c>
      <c r="C66" s="71" t="s">
        <v>502</v>
      </c>
      <c r="D66" s="71" t="s">
        <v>503</v>
      </c>
      <c r="E66" s="71" t="s">
        <v>504</v>
      </c>
      <c r="F66" s="38"/>
      <c r="G66" s="39" t="s">
        <v>180</v>
      </c>
      <c r="H66" s="40" t="s">
        <v>210</v>
      </c>
      <c r="K66" s="71" t="s">
        <v>124</v>
      </c>
    </row>
    <row r="67" spans="2:11">
      <c r="B67" s="37">
        <f t="shared" si="0"/>
        <v>54</v>
      </c>
      <c r="C67" s="38" t="s">
        <v>263</v>
      </c>
      <c r="D67" s="38" t="s">
        <v>264</v>
      </c>
      <c r="E67" s="38" t="s">
        <v>183</v>
      </c>
      <c r="F67" s="38"/>
      <c r="G67" s="39" t="s">
        <v>180</v>
      </c>
      <c r="H67" s="40" t="s">
        <v>210</v>
      </c>
      <c r="K67" s="38" t="s">
        <v>264</v>
      </c>
    </row>
    <row r="68" spans="2:11">
      <c r="B68" s="37">
        <f t="shared" si="0"/>
        <v>55</v>
      </c>
      <c r="C68" s="38" t="s">
        <v>265</v>
      </c>
      <c r="D68" s="38" t="s">
        <v>266</v>
      </c>
      <c r="E68" s="38" t="s">
        <v>206</v>
      </c>
      <c r="F68" s="38"/>
      <c r="G68" s="39" t="s">
        <v>180</v>
      </c>
      <c r="H68" s="40" t="s">
        <v>210</v>
      </c>
      <c r="K68" s="38" t="s">
        <v>266</v>
      </c>
    </row>
    <row r="69" spans="2:11">
      <c r="B69" s="37">
        <f t="shared" si="0"/>
        <v>56</v>
      </c>
      <c r="C69" s="38" t="s">
        <v>267</v>
      </c>
      <c r="D69" s="38" t="s">
        <v>268</v>
      </c>
      <c r="E69" s="38" t="s">
        <v>183</v>
      </c>
      <c r="F69" s="38"/>
      <c r="G69" s="39" t="s">
        <v>180</v>
      </c>
      <c r="H69" s="40" t="s">
        <v>210</v>
      </c>
      <c r="K69" s="38" t="s">
        <v>268</v>
      </c>
    </row>
    <row r="70" spans="2:11">
      <c r="B70" s="37">
        <f t="shared" si="0"/>
        <v>57</v>
      </c>
      <c r="C70" s="38" t="s">
        <v>269</v>
      </c>
      <c r="D70" s="38" t="s">
        <v>270</v>
      </c>
      <c r="E70" s="38" t="s">
        <v>206</v>
      </c>
      <c r="F70" s="38"/>
      <c r="G70" s="39" t="s">
        <v>180</v>
      </c>
      <c r="H70" s="40" t="s">
        <v>210</v>
      </c>
      <c r="K70" s="38" t="s">
        <v>270</v>
      </c>
    </row>
    <row r="71" spans="2:11">
      <c r="B71" s="37">
        <f t="shared" si="0"/>
        <v>58</v>
      </c>
      <c r="C71" s="38" t="s">
        <v>271</v>
      </c>
      <c r="D71" s="38" t="s">
        <v>272</v>
      </c>
      <c r="E71" s="38" t="s">
        <v>183</v>
      </c>
      <c r="F71" s="38"/>
      <c r="G71" s="39" t="s">
        <v>180</v>
      </c>
      <c r="H71" s="40" t="s">
        <v>210</v>
      </c>
      <c r="K71" s="38" t="s">
        <v>272</v>
      </c>
    </row>
    <row r="72" spans="2:11">
      <c r="B72" s="37">
        <f t="shared" si="0"/>
        <v>59</v>
      </c>
      <c r="C72" s="38" t="s">
        <v>273</v>
      </c>
      <c r="D72" s="38" t="s">
        <v>274</v>
      </c>
      <c r="E72" s="38" t="s">
        <v>183</v>
      </c>
      <c r="F72" s="38"/>
      <c r="G72" s="39" t="s">
        <v>180</v>
      </c>
      <c r="H72" s="40" t="s">
        <v>210</v>
      </c>
      <c r="K72" s="38" t="s">
        <v>274</v>
      </c>
    </row>
    <row r="73" spans="2:11">
      <c r="B73" s="37">
        <f t="shared" si="0"/>
        <v>60</v>
      </c>
      <c r="C73" s="38" t="s">
        <v>275</v>
      </c>
      <c r="D73" s="38" t="s">
        <v>276</v>
      </c>
      <c r="E73" s="38" t="s">
        <v>277</v>
      </c>
      <c r="F73" s="38"/>
      <c r="G73" s="39" t="s">
        <v>180</v>
      </c>
      <c r="H73" s="40" t="s">
        <v>210</v>
      </c>
      <c r="K73" s="38" t="s">
        <v>276</v>
      </c>
    </row>
    <row r="74" spans="2:11">
      <c r="B74" s="37">
        <f t="shared" si="0"/>
        <v>61</v>
      </c>
      <c r="C74" s="38" t="s">
        <v>278</v>
      </c>
      <c r="D74" s="38" t="s">
        <v>279</v>
      </c>
      <c r="E74" s="38" t="s">
        <v>277</v>
      </c>
      <c r="F74" s="38"/>
      <c r="G74" s="39" t="s">
        <v>180</v>
      </c>
      <c r="H74" s="40" t="s">
        <v>210</v>
      </c>
      <c r="K74" s="38" t="s">
        <v>279</v>
      </c>
    </row>
    <row r="75" spans="2:11">
      <c r="B75" s="37">
        <f t="shared" si="0"/>
        <v>62</v>
      </c>
      <c r="C75" s="38" t="s">
        <v>280</v>
      </c>
      <c r="D75" s="38" t="s">
        <v>281</v>
      </c>
      <c r="E75" s="38" t="s">
        <v>277</v>
      </c>
      <c r="F75" s="38"/>
      <c r="G75" s="39" t="s">
        <v>180</v>
      </c>
      <c r="H75" s="40" t="s">
        <v>210</v>
      </c>
      <c r="K75" s="38" t="s">
        <v>281</v>
      </c>
    </row>
    <row r="76" spans="2:11">
      <c r="B76" s="37">
        <f t="shared" si="0"/>
        <v>63</v>
      </c>
      <c r="C76" s="38" t="s">
        <v>282</v>
      </c>
      <c r="D76" s="38" t="s">
        <v>283</v>
      </c>
      <c r="E76" s="38" t="s">
        <v>277</v>
      </c>
      <c r="F76" s="38"/>
      <c r="G76" s="39" t="s">
        <v>180</v>
      </c>
      <c r="H76" s="40" t="s">
        <v>210</v>
      </c>
      <c r="K76" s="38" t="s">
        <v>283</v>
      </c>
    </row>
    <row r="77" spans="2:11">
      <c r="B77" s="37">
        <f t="shared" si="0"/>
        <v>64</v>
      </c>
      <c r="C77" s="38" t="s">
        <v>284</v>
      </c>
      <c r="D77" s="38" t="s">
        <v>285</v>
      </c>
      <c r="E77" s="38" t="s">
        <v>183</v>
      </c>
      <c r="F77" s="38"/>
      <c r="G77" s="39" t="s">
        <v>180</v>
      </c>
      <c r="H77" s="40" t="s">
        <v>210</v>
      </c>
      <c r="K77" s="38" t="s">
        <v>285</v>
      </c>
    </row>
    <row r="78" spans="2:11">
      <c r="B78" s="37">
        <f t="shared" si="0"/>
        <v>65</v>
      </c>
      <c r="C78" s="38" t="s">
        <v>286</v>
      </c>
      <c r="D78" s="38" t="s">
        <v>287</v>
      </c>
      <c r="E78" s="38" t="s">
        <v>183</v>
      </c>
      <c r="F78" s="38"/>
      <c r="G78" s="39" t="s">
        <v>180</v>
      </c>
      <c r="H78" s="40" t="s">
        <v>210</v>
      </c>
      <c r="K78" s="38" t="s">
        <v>287</v>
      </c>
    </row>
    <row r="79" spans="2:11">
      <c r="B79" s="37">
        <f t="shared" si="0"/>
        <v>66</v>
      </c>
      <c r="C79" s="38" t="s">
        <v>288</v>
      </c>
      <c r="D79" s="38" t="s">
        <v>289</v>
      </c>
      <c r="E79" s="38" t="s">
        <v>183</v>
      </c>
      <c r="F79" s="38"/>
      <c r="G79" s="39" t="s">
        <v>180</v>
      </c>
      <c r="H79" s="40" t="s">
        <v>210</v>
      </c>
      <c r="K79" s="38" t="s">
        <v>289</v>
      </c>
    </row>
    <row r="80" spans="2:11">
      <c r="B80" s="37">
        <f t="shared" si="0"/>
        <v>67</v>
      </c>
      <c r="C80" s="38" t="s">
        <v>290</v>
      </c>
      <c r="D80" s="38" t="s">
        <v>291</v>
      </c>
      <c r="E80" s="38" t="s">
        <v>183</v>
      </c>
      <c r="F80" s="38"/>
      <c r="G80" s="39" t="s">
        <v>180</v>
      </c>
      <c r="H80" s="40" t="s">
        <v>210</v>
      </c>
      <c r="K80" s="38" t="s">
        <v>291</v>
      </c>
    </row>
    <row r="81" spans="2:11">
      <c r="B81" s="67">
        <f t="shared" si="0"/>
        <v>68</v>
      </c>
      <c r="C81" s="68" t="s">
        <v>421</v>
      </c>
      <c r="D81" s="70" t="s">
        <v>422</v>
      </c>
      <c r="E81" s="70" t="s">
        <v>416</v>
      </c>
      <c r="F81" s="38"/>
      <c r="G81" s="39" t="s">
        <v>180</v>
      </c>
      <c r="H81" s="40" t="s">
        <v>210</v>
      </c>
      <c r="K81" s="70" t="s">
        <v>422</v>
      </c>
    </row>
    <row r="82" spans="2:11">
      <c r="B82" s="26">
        <f t="shared" si="0"/>
        <v>69</v>
      </c>
      <c r="C82" s="28" t="s">
        <v>103</v>
      </c>
      <c r="D82" s="28" t="s">
        <v>108</v>
      </c>
      <c r="E82" s="28" t="s">
        <v>183</v>
      </c>
      <c r="F82" s="28"/>
      <c r="G82" s="29" t="s">
        <v>204</v>
      </c>
      <c r="H82" s="30"/>
      <c r="K82" s="28" t="s">
        <v>108</v>
      </c>
    </row>
    <row r="83" spans="2:11">
      <c r="B83" s="26">
        <f t="shared" si="0"/>
        <v>70</v>
      </c>
      <c r="C83" s="28" t="s">
        <v>109</v>
      </c>
      <c r="D83" s="28" t="s">
        <v>110</v>
      </c>
      <c r="E83" s="28" t="s">
        <v>294</v>
      </c>
      <c r="F83" s="28"/>
      <c r="G83" s="29"/>
      <c r="H83" s="30"/>
      <c r="K83" s="28" t="s">
        <v>110</v>
      </c>
    </row>
    <row r="84" spans="2:11">
      <c r="B84" s="26">
        <f t="shared" si="0"/>
        <v>71</v>
      </c>
      <c r="C84" s="28" t="s">
        <v>111</v>
      </c>
      <c r="D84" s="28" t="s">
        <v>118</v>
      </c>
      <c r="E84" s="28" t="s">
        <v>192</v>
      </c>
      <c r="F84" s="28"/>
      <c r="G84" s="29"/>
      <c r="H84" s="30"/>
      <c r="K84" s="28" t="s">
        <v>118</v>
      </c>
    </row>
    <row r="85" spans="2:11" ht="24.75" customHeight="1">
      <c r="B85" s="26">
        <f t="shared" si="0"/>
        <v>72</v>
      </c>
      <c r="C85" s="28" t="s">
        <v>104</v>
      </c>
      <c r="D85" s="28" t="s">
        <v>119</v>
      </c>
      <c r="E85" s="28" t="s">
        <v>192</v>
      </c>
      <c r="F85" s="28" t="s">
        <v>179</v>
      </c>
      <c r="G85" s="29" t="s">
        <v>123</v>
      </c>
      <c r="H85" s="35" t="s">
        <v>298</v>
      </c>
      <c r="K85" s="28" t="s">
        <v>119</v>
      </c>
    </row>
    <row r="86" spans="2:11" ht="24.75" customHeight="1">
      <c r="B86" s="26">
        <f t="shared" si="0"/>
        <v>73</v>
      </c>
      <c r="C86" s="28" t="s">
        <v>125</v>
      </c>
      <c r="D86" s="28" t="s">
        <v>126</v>
      </c>
      <c r="E86" s="28" t="s">
        <v>192</v>
      </c>
      <c r="F86" s="28" t="s">
        <v>179</v>
      </c>
      <c r="G86" s="29" t="s">
        <v>123</v>
      </c>
      <c r="H86" s="35" t="s">
        <v>298</v>
      </c>
      <c r="K86" s="28" t="s">
        <v>126</v>
      </c>
    </row>
    <row r="87" spans="2:11">
      <c r="B87" s="26">
        <f t="shared" si="0"/>
        <v>74</v>
      </c>
      <c r="C87" s="28" t="s">
        <v>112</v>
      </c>
      <c r="D87" s="28" t="s">
        <v>70</v>
      </c>
      <c r="E87" s="28" t="s">
        <v>192</v>
      </c>
      <c r="F87" s="28" t="s">
        <v>179</v>
      </c>
      <c r="G87" s="29" t="s">
        <v>300</v>
      </c>
      <c r="H87" s="30" t="s">
        <v>180</v>
      </c>
      <c r="K87" s="28" t="s">
        <v>70</v>
      </c>
    </row>
    <row r="88" spans="2:11">
      <c r="B88" s="26">
        <f t="shared" si="0"/>
        <v>75</v>
      </c>
      <c r="C88" s="28" t="s">
        <v>71</v>
      </c>
      <c r="D88" s="28" t="s">
        <v>120</v>
      </c>
      <c r="E88" s="28" t="s">
        <v>192</v>
      </c>
      <c r="F88" s="28" t="s">
        <v>179</v>
      </c>
      <c r="G88" s="29" t="s">
        <v>204</v>
      </c>
      <c r="H88" s="30" t="s">
        <v>180</v>
      </c>
      <c r="K88" s="28" t="s">
        <v>120</v>
      </c>
    </row>
    <row r="89" spans="2:11">
      <c r="B89" s="26">
        <f t="shared" si="0"/>
        <v>76</v>
      </c>
      <c r="C89" s="28" t="s">
        <v>73</v>
      </c>
      <c r="D89" s="28" t="s">
        <v>113</v>
      </c>
      <c r="E89" s="28" t="s">
        <v>294</v>
      </c>
      <c r="F89" s="28" t="s">
        <v>179</v>
      </c>
      <c r="G89" s="29"/>
      <c r="H89" s="30"/>
      <c r="K89" s="28" t="s">
        <v>113</v>
      </c>
    </row>
    <row r="90" spans="2:11">
      <c r="B90" s="26">
        <f t="shared" si="0"/>
        <v>77</v>
      </c>
      <c r="C90" s="28" t="s">
        <v>75</v>
      </c>
      <c r="D90" s="28" t="s">
        <v>121</v>
      </c>
      <c r="E90" s="28" t="s">
        <v>192</v>
      </c>
      <c r="F90" s="28" t="s">
        <v>179</v>
      </c>
      <c r="G90" s="29"/>
      <c r="H90" s="30"/>
      <c r="K90" s="28" t="s">
        <v>121</v>
      </c>
    </row>
    <row r="91" spans="2:11">
      <c r="B91" s="26">
        <f t="shared" si="0"/>
        <v>78</v>
      </c>
      <c r="C91" s="28" t="s">
        <v>77</v>
      </c>
      <c r="D91" s="28" t="s">
        <v>114</v>
      </c>
      <c r="E91" s="28" t="s">
        <v>294</v>
      </c>
      <c r="F91" s="28" t="s">
        <v>179</v>
      </c>
      <c r="G91" s="29" t="s">
        <v>180</v>
      </c>
      <c r="H91" s="30" t="s">
        <v>180</v>
      </c>
      <c r="K91" s="28" t="s">
        <v>114</v>
      </c>
    </row>
    <row r="92" spans="2:11">
      <c r="B92" s="26">
        <f t="shared" si="0"/>
        <v>79</v>
      </c>
      <c r="C92" s="28" t="s">
        <v>79</v>
      </c>
      <c r="D92" s="28" t="s">
        <v>115</v>
      </c>
      <c r="E92" s="28" t="s">
        <v>192</v>
      </c>
      <c r="F92" s="28" t="s">
        <v>179</v>
      </c>
      <c r="G92" s="29"/>
      <c r="H92" s="30"/>
      <c r="K92" s="28" t="s">
        <v>115</v>
      </c>
    </row>
    <row r="93" spans="2:11">
      <c r="B93" s="26">
        <f t="shared" si="0"/>
        <v>80</v>
      </c>
      <c r="C93" s="28" t="s">
        <v>81</v>
      </c>
      <c r="D93" s="28" t="s">
        <v>82</v>
      </c>
      <c r="E93" s="28" t="s">
        <v>194</v>
      </c>
      <c r="F93" s="28"/>
      <c r="G93" s="29" t="s">
        <v>180</v>
      </c>
      <c r="H93" s="30" t="s">
        <v>180</v>
      </c>
      <c r="K93" s="28" t="s">
        <v>82</v>
      </c>
    </row>
    <row r="94" spans="2:11">
      <c r="B94" s="26">
        <f t="shared" si="0"/>
        <v>81</v>
      </c>
      <c r="C94" s="28" t="s">
        <v>83</v>
      </c>
      <c r="D94" s="28" t="s">
        <v>84</v>
      </c>
      <c r="E94" s="28" t="s">
        <v>194</v>
      </c>
      <c r="F94" s="28"/>
      <c r="G94" s="29" t="s">
        <v>180</v>
      </c>
      <c r="H94" s="30" t="s">
        <v>180</v>
      </c>
      <c r="K94" s="28" t="s">
        <v>84</v>
      </c>
    </row>
    <row r="95" spans="2:11">
      <c r="B95" s="26">
        <f t="shared" si="0"/>
        <v>82</v>
      </c>
      <c r="C95" s="28" t="s">
        <v>85</v>
      </c>
      <c r="D95" s="28" t="s">
        <v>86</v>
      </c>
      <c r="E95" s="28" t="s">
        <v>194</v>
      </c>
      <c r="F95" s="28"/>
      <c r="G95" s="29" t="s">
        <v>180</v>
      </c>
      <c r="H95" s="30" t="s">
        <v>180</v>
      </c>
      <c r="K95" s="28" t="s">
        <v>86</v>
      </c>
    </row>
    <row r="96" spans="2:11">
      <c r="B96" s="26">
        <f t="shared" si="0"/>
        <v>83</v>
      </c>
      <c r="C96" s="28" t="s">
        <v>87</v>
      </c>
      <c r="D96" s="28" t="s">
        <v>88</v>
      </c>
      <c r="E96" s="28" t="s">
        <v>194</v>
      </c>
      <c r="F96" s="28"/>
      <c r="G96" s="29" t="s">
        <v>180</v>
      </c>
      <c r="H96" s="30" t="s">
        <v>180</v>
      </c>
      <c r="K96" s="28" t="s">
        <v>88</v>
      </c>
    </row>
    <row r="97" spans="2:11">
      <c r="B97" s="42">
        <f>ROW()-13</f>
        <v>84</v>
      </c>
      <c r="C97" s="43" t="s">
        <v>89</v>
      </c>
      <c r="D97" s="43" t="s">
        <v>90</v>
      </c>
      <c r="E97" s="43" t="s">
        <v>194</v>
      </c>
      <c r="F97" s="43"/>
      <c r="G97" s="44"/>
      <c r="H97" s="45"/>
      <c r="K97" s="43" t="s">
        <v>90</v>
      </c>
    </row>
    <row r="98" spans="2:11" ht="16.5" thickBot="1">
      <c r="B98" s="46">
        <f>ROW()-13</f>
        <v>85</v>
      </c>
      <c r="C98" s="47" t="s">
        <v>91</v>
      </c>
      <c r="D98" s="47" t="s">
        <v>116</v>
      </c>
      <c r="E98" s="47" t="s">
        <v>206</v>
      </c>
      <c r="F98" s="47"/>
      <c r="G98" s="48" t="s">
        <v>180</v>
      </c>
      <c r="H98" s="49" t="s">
        <v>180</v>
      </c>
      <c r="K98" s="47" t="s">
        <v>116</v>
      </c>
    </row>
  </sheetData>
  <phoneticPr fontId="9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uildSQL">
          <controlPr defaultSize="0" autoLine="0" r:id="rId5">
            <anchor moveWithCells="1">
              <from>
                <xdr:col>10</xdr:col>
                <xdr:colOff>0</xdr:colOff>
                <xdr:row>5</xdr:row>
                <xdr:rowOff>76200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1" r:id="rId4" name="BuildSQ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企業マスタ</vt:lpstr>
      <vt:lpstr>企業マスタ (2)</vt:lpstr>
      <vt:lpstr>インターンシップ</vt:lpstr>
      <vt:lpstr>会社説明会</vt:lpstr>
      <vt:lpstr>求人票</vt:lpstr>
      <vt:lpstr>お知らせ管理</vt:lpstr>
      <vt:lpstr>作業用・アカウント申請</vt:lpstr>
      <vt:lpstr>作業用・求人票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小山 和則</dc:creator>
  <cp:lastModifiedBy>kkoyama(こやま かずのり)</cp:lastModifiedBy>
  <dcterms:created xsi:type="dcterms:W3CDTF">2016-08-30T09:02:04Z</dcterms:created>
  <dcterms:modified xsi:type="dcterms:W3CDTF">2017-10-18T03:03:43Z</dcterms:modified>
</cp:coreProperties>
</file>